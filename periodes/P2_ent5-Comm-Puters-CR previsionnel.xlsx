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AE - 205\"/>
    </mc:Choice>
  </mc:AlternateContent>
  <xr:revisionPtr revIDLastSave="0" documentId="13_ncr:1_{E77E087A-A319-42FB-B07D-C530D7ED6449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 CDR" sheetId="6" r:id="rId1"/>
  </sheets>
  <definedNames>
    <definedName name="_xlnm.Print_Area" localSheetId="0">' CDR'!$A$1:$C$26</definedName>
  </definedNames>
  <calcPr calcId="191029"/>
</workbook>
</file>

<file path=xl/calcChain.xml><?xml version="1.0" encoding="utf-8"?>
<calcChain xmlns="http://schemas.openxmlformats.org/spreadsheetml/2006/main">
  <c r="C13" i="6" l="1"/>
  <c r="C7" i="6"/>
  <c r="C4" i="6"/>
  <c r="C18" i="6"/>
  <c r="I12" i="6"/>
  <c r="J12" i="6" s="1"/>
  <c r="C12" i="6" s="1"/>
  <c r="I11" i="6"/>
  <c r="J11" i="6" s="1"/>
  <c r="C11" i="6" s="1"/>
  <c r="H21" i="6"/>
  <c r="H20" i="6"/>
  <c r="C21" i="6" s="1"/>
  <c r="C22" i="6" s="1"/>
  <c r="I15" i="6"/>
  <c r="H15" i="6"/>
  <c r="O4" i="6"/>
  <c r="P4" i="6" s="1"/>
  <c r="K4" i="6"/>
  <c r="L4" i="6" s="1"/>
  <c r="O3" i="6" l="1"/>
  <c r="P3" i="6" s="1"/>
  <c r="P5" i="6" s="1"/>
  <c r="K3" i="6"/>
  <c r="L3" i="6" s="1"/>
  <c r="F5" i="6"/>
  <c r="H3" i="6"/>
  <c r="H4" i="6"/>
  <c r="G8" i="6"/>
  <c r="C6" i="6" l="1"/>
  <c r="C5" i="6" s="1"/>
  <c r="C14" i="6" l="1"/>
  <c r="C24" i="6" s="1"/>
  <c r="C25" i="6" s="1"/>
  <c r="C26" i="6" s="1"/>
  <c r="C28" i="6" s="1"/>
</calcChain>
</file>

<file path=xl/sharedStrings.xml><?xml version="1.0" encoding="utf-8"?>
<sst xmlns="http://schemas.openxmlformats.org/spreadsheetml/2006/main" count="84" uniqueCount="77">
  <si>
    <t>Produits financiers</t>
  </si>
  <si>
    <t>Etudes</t>
  </si>
  <si>
    <t>Total</t>
  </si>
  <si>
    <t>Personnel</t>
  </si>
  <si>
    <t>Charges financières</t>
  </si>
  <si>
    <t>Produits d'exploitation</t>
  </si>
  <si>
    <t>Charges d'exploitation</t>
  </si>
  <si>
    <t>Dotations aux amortissements</t>
  </si>
  <si>
    <t>Résultat d'exploitation</t>
  </si>
  <si>
    <t>Résultat financier</t>
  </si>
  <si>
    <t>Produits exceptionnels</t>
  </si>
  <si>
    <t>Charges exceptionnelles</t>
  </si>
  <si>
    <t>Résultat exceptionnel</t>
  </si>
  <si>
    <t>Résultat avant impôts</t>
  </si>
  <si>
    <t>Ventes</t>
  </si>
  <si>
    <t>Achats de consommables</t>
  </si>
  <si>
    <t>Communication</t>
  </si>
  <si>
    <t>Formation</t>
  </si>
  <si>
    <t>Personnel technique</t>
  </si>
  <si>
    <t>Personnel d'accueil</t>
  </si>
  <si>
    <t>Calculs</t>
  </si>
  <si>
    <t>U___E___</t>
  </si>
  <si>
    <t>Impôts</t>
  </si>
  <si>
    <t>Prestation</t>
  </si>
  <si>
    <t>Prix unitaire</t>
  </si>
  <si>
    <t>Réinstallation PC</t>
  </si>
  <si>
    <t>Pack réseau</t>
  </si>
  <si>
    <t>CA</t>
  </si>
  <si>
    <t>Qualité composant (choix indice)</t>
  </si>
  <si>
    <t>Coût unitaire composant (base 100)</t>
  </si>
  <si>
    <t>Coût unitaire composant</t>
  </si>
  <si>
    <t>Coût total composant</t>
  </si>
  <si>
    <t>CA Réinstallation PC + CA Pack réseau</t>
  </si>
  <si>
    <t>Total des charges d'exploitation</t>
  </si>
  <si>
    <t>Entretien des stations de travail</t>
  </si>
  <si>
    <t>Coût unitaire entretien</t>
  </si>
  <si>
    <t>Coût total entretien</t>
  </si>
  <si>
    <t>Salaire annuel (base 100)</t>
  </si>
  <si>
    <t>Salaire annuel</t>
  </si>
  <si>
    <t>Indice de salaire</t>
  </si>
  <si>
    <t>Masse salariale</t>
  </si>
  <si>
    <t>technique</t>
  </si>
  <si>
    <t>d'accueil</t>
  </si>
  <si>
    <t>Nombre</t>
  </si>
  <si>
    <t>Masse salariale du personnel technique</t>
  </si>
  <si>
    <t>Masse salariale du personnel d'accueil</t>
  </si>
  <si>
    <t>Budget formation du personnel technique et d'accueil</t>
  </si>
  <si>
    <t>Coût total des études de marché commandées</t>
  </si>
  <si>
    <t>Pas de placement possible donc 0</t>
  </si>
  <si>
    <t>Sur découvert et valeur nette de l'emprunt N-1</t>
  </si>
  <si>
    <t>Plus value sur cession de machine</t>
  </si>
  <si>
    <t>Coût d'achat unitaire</t>
  </si>
  <si>
    <t>Durée d'amortissement</t>
  </si>
  <si>
    <t>Amortissement annuel unitaire</t>
  </si>
  <si>
    <t>Amortissement annuel</t>
  </si>
  <si>
    <t>Nombre de station de travail</t>
  </si>
  <si>
    <t>Nombre d'embauche</t>
  </si>
  <si>
    <t>Coût d'embauche unitaire</t>
  </si>
  <si>
    <t>Coût d'embauche</t>
  </si>
  <si>
    <t>Compte de résultat prévisionnel P1</t>
  </si>
  <si>
    <t>Taux d'IS</t>
  </si>
  <si>
    <t>Taux de marge</t>
  </si>
  <si>
    <t>Résultat net / CA</t>
  </si>
  <si>
    <t>Budget communication interne et externe + promotion produit</t>
  </si>
  <si>
    <t>Temps réalisation unitaire (base 100)</t>
  </si>
  <si>
    <t>Indice de temps choisi</t>
  </si>
  <si>
    <t>Temps de réalisation unitaire</t>
  </si>
  <si>
    <t>Temps de réalisation</t>
  </si>
  <si>
    <t>à compléter par une donnée, issue de vos décisions stratégiques</t>
  </si>
  <si>
    <t>à compléter par une formule de calcul</t>
  </si>
  <si>
    <t>Volume</t>
  </si>
  <si>
    <t>rappel : 1 technicien peut effectuer 1 200 H au maximum</t>
  </si>
  <si>
    <t>rappel : 1 commercial peut accueilir 1000 clients au maximum</t>
  </si>
  <si>
    <t>rappel : 1 station peut effectuer 2 000 H au maximum</t>
  </si>
  <si>
    <t>Résultat net</t>
  </si>
  <si>
    <t>Montant de l'impôt sur les sociétés (IS)</t>
  </si>
  <si>
    <t>Frais d'embauche et / ou de licenciement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</si>
</sst>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_€"/>
    <numFmt numFmtId="168" formatCode="#,##0.000\ _€"/>
  </numFmts>
  <fonts count="10" x14ac:knownFonts="1">
    <font>
      <sz val="10"/>
      <name val="Arial"/>
    </font>
    <font>
      <sz val="10"/>
      <name val="Franklin Gothic Book"/>
      <family val="2"/>
    </font>
    <font>
      <b/>
      <sz val="10"/>
      <color indexed="9"/>
      <name val="Franklin Gothic Book"/>
      <family val="2"/>
    </font>
    <font>
      <sz val="10"/>
      <color indexed="9"/>
      <name val="Franklin Gothic Book"/>
      <family val="2"/>
    </font>
    <font>
      <b/>
      <sz val="10"/>
      <name val="Franklin Gothic Book"/>
      <family val="2"/>
    </font>
    <font>
      <sz val="10"/>
      <color indexed="9"/>
      <name val="Franklin Gothic Demi"/>
      <family val="2"/>
    </font>
    <font>
      <sz val="10"/>
      <color indexed="10"/>
      <name val="Franklin Gothic Book"/>
      <family val="2"/>
    </font>
    <font>
      <b/>
      <sz val="22"/>
      <name val="Franklin Gothic Book"/>
      <family val="2"/>
    </font>
    <font>
      <sz val="22"/>
      <color rgb="FFFF6600"/>
      <name val="Franklin Gothic Book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1" fillId="0" borderId="9" xfId="0" applyFont="1" applyBorder="1" applyAlignment="1">
      <alignment horizontal="left" vertical="center"/>
    </xf>
    <xf numFmtId="0" fontId="3" fillId="0" borderId="11" xfId="0" applyFont="1" applyFill="1" applyBorder="1" applyAlignment="1">
      <alignment horizontal="right" vertical="center"/>
    </xf>
    <xf numFmtId="0" fontId="1" fillId="0" borderId="0" xfId="0" quotePrefix="1" applyFont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5" fillId="2" borderId="10" xfId="0" applyFont="1" applyFill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Fill="1" applyBorder="1" applyAlignment="1">
      <alignment horizontal="right" vertical="center"/>
    </xf>
    <xf numFmtId="0" fontId="1" fillId="0" borderId="13" xfId="0" applyFont="1" applyFill="1" applyBorder="1" applyAlignment="1">
      <alignment horizontal="right" vertical="center"/>
    </xf>
    <xf numFmtId="0" fontId="1" fillId="0" borderId="18" xfId="0" applyFont="1" applyFill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164" fontId="1" fillId="0" borderId="6" xfId="0" applyNumberFormat="1" applyFont="1" applyFill="1" applyBorder="1" applyAlignment="1">
      <alignment horizontal="center" vertical="center"/>
    </xf>
    <xf numFmtId="164" fontId="1" fillId="0" borderId="12" xfId="0" applyNumberFormat="1" applyFont="1" applyFill="1" applyBorder="1" applyAlignment="1">
      <alignment vertical="center"/>
    </xf>
    <xf numFmtId="1" fontId="1" fillId="0" borderId="6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0" fontId="1" fillId="0" borderId="6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164" fontId="1" fillId="0" borderId="4" xfId="0" applyNumberFormat="1" applyFont="1" applyFill="1" applyBorder="1" applyAlignment="1">
      <alignment vertical="center"/>
    </xf>
    <xf numFmtId="10" fontId="1" fillId="0" borderId="6" xfId="1" applyNumberFormat="1" applyFont="1" applyFill="1" applyBorder="1" applyAlignment="1">
      <alignment horizontal="center" vertical="center"/>
    </xf>
    <xf numFmtId="9" fontId="1" fillId="0" borderId="6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" fontId="1" fillId="3" borderId="6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vertical="center"/>
    </xf>
    <xf numFmtId="164" fontId="1" fillId="3" borderId="12" xfId="0" applyNumberFormat="1" applyFont="1" applyFill="1" applyBorder="1" applyAlignment="1">
      <alignment vertical="center"/>
    </xf>
    <xf numFmtId="164" fontId="1" fillId="3" borderId="7" xfId="0" applyNumberFormat="1" applyFont="1" applyFill="1" applyBorder="1" applyAlignment="1">
      <alignment vertical="center"/>
    </xf>
    <xf numFmtId="1" fontId="1" fillId="3" borderId="16" xfId="0" applyNumberFormat="1" applyFont="1" applyFill="1" applyBorder="1" applyAlignment="1">
      <alignment vertical="center"/>
    </xf>
    <xf numFmtId="10" fontId="4" fillId="3" borderId="1" xfId="0" applyNumberFormat="1" applyFont="1" applyFill="1" applyBorder="1" applyAlignment="1">
      <alignment vertical="center"/>
    </xf>
    <xf numFmtId="164" fontId="4" fillId="3" borderId="6" xfId="0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68" fontId="1" fillId="3" borderId="6" xfId="0" applyNumberFormat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9"/>
  <sheetViews>
    <sheetView tabSelected="1" zoomScale="85" zoomScaleNormal="85" workbookViewId="0">
      <selection activeCell="B7" sqref="B7"/>
    </sheetView>
  </sheetViews>
  <sheetFormatPr baseColWidth="10" defaultColWidth="11.42578125" defaultRowHeight="13.5" x14ac:dyDescent="0.2"/>
  <cols>
    <col min="1" max="1" width="30.7109375" style="2" customWidth="1"/>
    <col min="2" max="2" width="58.140625" style="8" customWidth="1"/>
    <col min="3" max="3" width="34" style="2" customWidth="1"/>
    <col min="4" max="4" width="13.28515625" style="2" customWidth="1"/>
    <col min="5" max="5" width="16.28515625" style="2" customWidth="1"/>
    <col min="6" max="6" width="13.28515625" style="2" customWidth="1"/>
    <col min="7" max="7" width="17.140625" style="2" customWidth="1"/>
    <col min="8" max="8" width="16.140625" style="2" customWidth="1"/>
    <col min="9" max="9" width="16" style="2" customWidth="1"/>
    <col min="10" max="10" width="12.7109375" style="2" customWidth="1"/>
    <col min="11" max="12" width="11.42578125" style="2"/>
    <col min="13" max="13" width="17.42578125" style="2" customWidth="1"/>
    <col min="14" max="16384" width="11.42578125" style="2"/>
  </cols>
  <sheetData>
    <row r="1" spans="1:16" ht="40.5" customHeight="1" thickBot="1" x14ac:dyDescent="0.25">
      <c r="A1" s="25" t="s">
        <v>21</v>
      </c>
      <c r="B1" s="54" t="s">
        <v>59</v>
      </c>
      <c r="C1" s="54"/>
    </row>
    <row r="2" spans="1:16" s="1" customFormat="1" ht="40.5" customHeight="1" thickBot="1" x14ac:dyDescent="0.25">
      <c r="A2" s="7"/>
      <c r="B2" s="22" t="s">
        <v>20</v>
      </c>
      <c r="C2" s="23" t="s">
        <v>2</v>
      </c>
      <c r="D2" s="12"/>
      <c r="E2" s="26" t="s">
        <v>23</v>
      </c>
      <c r="F2" s="26" t="s">
        <v>70</v>
      </c>
      <c r="G2" s="26" t="s">
        <v>24</v>
      </c>
      <c r="H2" s="27" t="s">
        <v>27</v>
      </c>
      <c r="I2" s="29" t="s">
        <v>29</v>
      </c>
      <c r="J2" s="29" t="s">
        <v>28</v>
      </c>
      <c r="K2" s="29" t="s">
        <v>30</v>
      </c>
      <c r="L2" s="29" t="s">
        <v>31</v>
      </c>
      <c r="M2" s="29" t="s">
        <v>64</v>
      </c>
      <c r="N2" s="29" t="s">
        <v>65</v>
      </c>
      <c r="O2" s="29" t="s">
        <v>66</v>
      </c>
      <c r="P2" s="29" t="s">
        <v>67</v>
      </c>
    </row>
    <row r="3" spans="1:16" ht="27.75" customHeight="1" thickBot="1" x14ac:dyDescent="0.25">
      <c r="A3" s="16" t="s">
        <v>5</v>
      </c>
      <c r="B3" s="30"/>
      <c r="C3" s="24"/>
      <c r="D3" s="13"/>
      <c r="E3" s="26" t="s">
        <v>25</v>
      </c>
      <c r="F3" s="37">
        <v>600</v>
      </c>
      <c r="G3" s="37">
        <v>170</v>
      </c>
      <c r="H3" s="46">
        <f>F3*G3</f>
        <v>102000</v>
      </c>
      <c r="I3" s="37">
        <v>20</v>
      </c>
      <c r="J3" s="44">
        <v>1.2</v>
      </c>
      <c r="K3" s="46">
        <f>I3*J3</f>
        <v>24</v>
      </c>
      <c r="L3" s="46">
        <f>F3*K3</f>
        <v>14400</v>
      </c>
      <c r="M3" s="27">
        <v>4</v>
      </c>
      <c r="N3" s="45">
        <v>1.2</v>
      </c>
      <c r="O3" s="61">
        <f>M3*N3</f>
        <v>4.8</v>
      </c>
      <c r="P3" s="46">
        <f>F3*O3</f>
        <v>2880</v>
      </c>
    </row>
    <row r="4" spans="1:16" ht="27.75" customHeight="1" thickBot="1" x14ac:dyDescent="0.25">
      <c r="A4" s="5" t="s">
        <v>14</v>
      </c>
      <c r="B4" s="31" t="s">
        <v>32</v>
      </c>
      <c r="C4" s="48">
        <f>H3+H4</f>
        <v>190000</v>
      </c>
      <c r="D4" s="14"/>
      <c r="E4" s="3" t="s">
        <v>26</v>
      </c>
      <c r="F4" s="37">
        <v>22</v>
      </c>
      <c r="G4" s="37">
        <v>4000</v>
      </c>
      <c r="H4" s="46">
        <f>G4*F4</f>
        <v>88000</v>
      </c>
      <c r="I4" s="37">
        <v>1500</v>
      </c>
      <c r="J4" s="44">
        <v>1.5</v>
      </c>
      <c r="K4" s="46">
        <f>I4*J4</f>
        <v>2250</v>
      </c>
      <c r="L4" s="46">
        <f>F4*K4</f>
        <v>49500</v>
      </c>
      <c r="M4" s="27">
        <v>15</v>
      </c>
      <c r="N4" s="45">
        <v>1.5</v>
      </c>
      <c r="O4" s="61">
        <f>M4*N4</f>
        <v>22.5</v>
      </c>
      <c r="P4" s="46">
        <f>F4*O4</f>
        <v>495</v>
      </c>
    </row>
    <row r="5" spans="1:16" ht="27.75" customHeight="1" thickBot="1" x14ac:dyDescent="0.25">
      <c r="A5" s="16" t="s">
        <v>6</v>
      </c>
      <c r="B5" s="33" t="s">
        <v>33</v>
      </c>
      <c r="C5" s="48">
        <f>SUM(C6:C13)</f>
        <v>188800</v>
      </c>
      <c r="D5" s="13"/>
      <c r="E5" s="13"/>
      <c r="F5" s="53">
        <f>F4+F3</f>
        <v>622</v>
      </c>
      <c r="G5" s="13"/>
      <c r="L5" s="1"/>
      <c r="M5" s="1"/>
      <c r="N5" s="1"/>
      <c r="O5" s="1"/>
      <c r="P5" s="53">
        <f>P3+P4</f>
        <v>3375</v>
      </c>
    </row>
    <row r="6" spans="1:16" ht="27.75" customHeight="1" x14ac:dyDescent="0.2">
      <c r="A6" s="5" t="s">
        <v>15</v>
      </c>
      <c r="B6" s="32" t="s">
        <v>31</v>
      </c>
      <c r="C6" s="49">
        <f>L3+L4</f>
        <v>63900</v>
      </c>
      <c r="D6" s="14"/>
    </row>
    <row r="7" spans="1:16" ht="27.75" customHeight="1" x14ac:dyDescent="0.2">
      <c r="A7" s="5" t="s">
        <v>34</v>
      </c>
      <c r="B7" s="32" t="s">
        <v>36</v>
      </c>
      <c r="C7" s="50">
        <f>G8</f>
        <v>1500</v>
      </c>
      <c r="D7" s="14"/>
      <c r="E7" s="34" t="s">
        <v>55</v>
      </c>
      <c r="F7" s="29" t="s">
        <v>35</v>
      </c>
      <c r="G7" s="29" t="s">
        <v>36</v>
      </c>
    </row>
    <row r="8" spans="1:16" ht="27.75" customHeight="1" x14ac:dyDescent="0.2">
      <c r="A8" s="5" t="s">
        <v>16</v>
      </c>
      <c r="B8" s="32" t="s">
        <v>63</v>
      </c>
      <c r="C8" s="38">
        <v>9000</v>
      </c>
      <c r="D8" s="14"/>
      <c r="E8" s="37">
        <v>1</v>
      </c>
      <c r="F8" s="37">
        <v>1500</v>
      </c>
      <c r="G8" s="46">
        <f>E8*F8</f>
        <v>1500</v>
      </c>
    </row>
    <row r="9" spans="1:16" ht="27.75" customHeight="1" x14ac:dyDescent="0.2">
      <c r="A9" s="5" t="s">
        <v>17</v>
      </c>
      <c r="B9" s="32" t="s">
        <v>46</v>
      </c>
      <c r="C9" s="38">
        <v>10500</v>
      </c>
      <c r="D9" s="14"/>
      <c r="E9" s="14"/>
      <c r="F9" s="14"/>
      <c r="G9" s="14"/>
    </row>
    <row r="10" spans="1:16" ht="27.75" customHeight="1" x14ac:dyDescent="0.2">
      <c r="A10" s="5" t="s">
        <v>1</v>
      </c>
      <c r="B10" s="32" t="s">
        <v>47</v>
      </c>
      <c r="C10" s="38">
        <v>13500</v>
      </c>
      <c r="D10" s="14"/>
      <c r="E10" s="28" t="s">
        <v>3</v>
      </c>
      <c r="F10" s="34" t="s">
        <v>43</v>
      </c>
      <c r="G10" s="29" t="s">
        <v>37</v>
      </c>
      <c r="H10" s="29" t="s">
        <v>39</v>
      </c>
      <c r="I10" s="29" t="s">
        <v>38</v>
      </c>
      <c r="J10" s="29" t="s">
        <v>40</v>
      </c>
    </row>
    <row r="11" spans="1:16" ht="27.75" customHeight="1" x14ac:dyDescent="0.2">
      <c r="A11" s="5" t="s">
        <v>18</v>
      </c>
      <c r="B11" s="32" t="s">
        <v>44</v>
      </c>
      <c r="C11" s="49">
        <f>J11</f>
        <v>66000</v>
      </c>
      <c r="D11" s="14"/>
      <c r="E11" s="28" t="s">
        <v>41</v>
      </c>
      <c r="F11" s="37">
        <v>2</v>
      </c>
      <c r="G11" s="37">
        <v>30000</v>
      </c>
      <c r="H11" s="39">
        <v>110</v>
      </c>
      <c r="I11" s="46">
        <f>G11/100*H11</f>
        <v>33000</v>
      </c>
      <c r="J11" s="46">
        <f>I11*F11</f>
        <v>66000</v>
      </c>
      <c r="L11" s="2" t="s">
        <v>71</v>
      </c>
    </row>
    <row r="12" spans="1:16" ht="27.75" customHeight="1" x14ac:dyDescent="0.2">
      <c r="A12" s="5" t="s">
        <v>19</v>
      </c>
      <c r="B12" s="32" t="s">
        <v>45</v>
      </c>
      <c r="C12" s="49">
        <f>J12</f>
        <v>22000</v>
      </c>
      <c r="D12" s="14"/>
      <c r="E12" s="3" t="s">
        <v>42</v>
      </c>
      <c r="F12" s="37">
        <v>1</v>
      </c>
      <c r="G12" s="37">
        <v>22000</v>
      </c>
      <c r="H12" s="39">
        <v>100</v>
      </c>
      <c r="I12" s="46">
        <f>G12/100*H12</f>
        <v>22000</v>
      </c>
      <c r="J12" s="46">
        <f>I12*F12</f>
        <v>22000</v>
      </c>
      <c r="L12" s="2" t="s">
        <v>72</v>
      </c>
    </row>
    <row r="13" spans="1:16" ht="27.75" customHeight="1" thickBot="1" x14ac:dyDescent="0.25">
      <c r="A13" s="21" t="s">
        <v>7</v>
      </c>
      <c r="B13" s="32" t="s">
        <v>54</v>
      </c>
      <c r="C13" s="49">
        <f>I15</f>
        <v>2400</v>
      </c>
      <c r="D13" s="14"/>
    </row>
    <row r="14" spans="1:16" ht="32.25" customHeight="1" thickBot="1" x14ac:dyDescent="0.25">
      <c r="A14" s="16" t="s">
        <v>8</v>
      </c>
      <c r="B14" s="17"/>
      <c r="C14" s="48">
        <f>C4-C5</f>
        <v>1200</v>
      </c>
      <c r="D14" s="13"/>
      <c r="E14" s="34" t="s">
        <v>55</v>
      </c>
      <c r="F14" s="29" t="s">
        <v>51</v>
      </c>
      <c r="G14" s="29" t="s">
        <v>52</v>
      </c>
      <c r="H14" s="29" t="s">
        <v>53</v>
      </c>
      <c r="I14" s="29" t="s">
        <v>54</v>
      </c>
    </row>
    <row r="15" spans="1:16" customFormat="1" ht="27.75" customHeight="1" thickBot="1" x14ac:dyDescent="0.25">
      <c r="E15" s="37">
        <v>1</v>
      </c>
      <c r="F15" s="37">
        <v>12000</v>
      </c>
      <c r="G15" s="37">
        <v>5</v>
      </c>
      <c r="H15" s="46">
        <f>F15/G15</f>
        <v>2400</v>
      </c>
      <c r="I15" s="46">
        <f>H15*E15</f>
        <v>2400</v>
      </c>
      <c r="L15" s="2" t="s">
        <v>73</v>
      </c>
    </row>
    <row r="16" spans="1:16" ht="27.75" customHeight="1" x14ac:dyDescent="0.2">
      <c r="A16" s="10" t="s">
        <v>0</v>
      </c>
      <c r="B16" s="35" t="s">
        <v>48</v>
      </c>
      <c r="C16" s="43">
        <v>0</v>
      </c>
      <c r="D16" s="14"/>
      <c r="E16" s="14"/>
      <c r="F16" s="14"/>
      <c r="G16" s="14"/>
    </row>
    <row r="17" spans="1:8" ht="27.75" customHeight="1" thickBot="1" x14ac:dyDescent="0.25">
      <c r="A17" s="18" t="s">
        <v>4</v>
      </c>
      <c r="B17" s="36" t="s">
        <v>49</v>
      </c>
      <c r="C17" s="38">
        <v>0</v>
      </c>
      <c r="D17" s="14"/>
      <c r="E17"/>
      <c r="F17"/>
      <c r="G17"/>
    </row>
    <row r="18" spans="1:8" ht="27.75" customHeight="1" thickBot="1" x14ac:dyDescent="0.25">
      <c r="A18" s="16" t="s">
        <v>9</v>
      </c>
      <c r="B18" s="19"/>
      <c r="C18" s="48">
        <f>C16+C17</f>
        <v>0</v>
      </c>
      <c r="D18" s="14"/>
      <c r="E18"/>
      <c r="F18"/>
      <c r="G18"/>
    </row>
    <row r="19" spans="1:8" ht="27.75" customHeight="1" thickBot="1" x14ac:dyDescent="0.25">
      <c r="A19"/>
      <c r="B19"/>
      <c r="C19"/>
      <c r="D19" s="14"/>
      <c r="E19" s="28" t="s">
        <v>3</v>
      </c>
      <c r="F19" s="34" t="s">
        <v>56</v>
      </c>
      <c r="G19" s="29" t="s">
        <v>57</v>
      </c>
      <c r="H19" s="29" t="s">
        <v>58</v>
      </c>
    </row>
    <row r="20" spans="1:8" s="4" customFormat="1" ht="27.75" customHeight="1" x14ac:dyDescent="0.2">
      <c r="A20" s="10" t="s">
        <v>10</v>
      </c>
      <c r="B20" s="35" t="s">
        <v>50</v>
      </c>
      <c r="C20" s="43">
        <v>0</v>
      </c>
      <c r="D20" s="14"/>
      <c r="E20" s="28" t="s">
        <v>41</v>
      </c>
      <c r="F20" s="37">
        <v>2</v>
      </c>
      <c r="G20" s="37">
        <v>1000</v>
      </c>
      <c r="H20" s="47">
        <f>G20*F20</f>
        <v>2000</v>
      </c>
    </row>
    <row r="21" spans="1:8" ht="27.75" customHeight="1" thickBot="1" x14ac:dyDescent="0.25">
      <c r="A21" s="18" t="s">
        <v>11</v>
      </c>
      <c r="B21" s="32" t="s">
        <v>76</v>
      </c>
      <c r="C21" s="51">
        <f>H20+H21</f>
        <v>3300</v>
      </c>
      <c r="D21" s="14"/>
      <c r="E21" s="3" t="s">
        <v>42</v>
      </c>
      <c r="F21" s="37">
        <v>1</v>
      </c>
      <c r="G21" s="37">
        <v>1300</v>
      </c>
      <c r="H21" s="47">
        <f>G21*F21</f>
        <v>1300</v>
      </c>
    </row>
    <row r="22" spans="1:8" ht="27.75" customHeight="1" thickBot="1" x14ac:dyDescent="0.25">
      <c r="A22" s="16" t="s">
        <v>12</v>
      </c>
      <c r="B22" s="19"/>
      <c r="C22" s="48">
        <f>C20-C21</f>
        <v>-3300</v>
      </c>
      <c r="D22" s="14"/>
      <c r="E22" s="14"/>
      <c r="F22" s="14"/>
      <c r="G22" s="14"/>
    </row>
    <row r="23" spans="1:8" ht="27.75" customHeight="1" thickBot="1" x14ac:dyDescent="0.25">
      <c r="A23"/>
      <c r="B23"/>
      <c r="C23"/>
      <c r="D23" s="14"/>
      <c r="E23" s="14"/>
      <c r="F23" s="14"/>
      <c r="G23" s="14"/>
    </row>
    <row r="24" spans="1:8" ht="27.75" customHeight="1" thickBot="1" x14ac:dyDescent="0.25">
      <c r="A24" s="16" t="s">
        <v>13</v>
      </c>
      <c r="B24" s="20"/>
      <c r="C24" s="48">
        <f>C22+C18+C14</f>
        <v>-2100</v>
      </c>
      <c r="D24" s="14"/>
      <c r="E24" s="14"/>
      <c r="F24" s="14"/>
      <c r="G24" s="14"/>
    </row>
    <row r="25" spans="1:8" ht="27.75" customHeight="1" thickBot="1" x14ac:dyDescent="0.25">
      <c r="A25" s="5" t="s">
        <v>22</v>
      </c>
      <c r="B25" s="32" t="s">
        <v>75</v>
      </c>
      <c r="C25" s="49">
        <f>C24*F25</f>
        <v>-588</v>
      </c>
      <c r="D25" s="14"/>
      <c r="E25" s="40" t="s">
        <v>60</v>
      </c>
      <c r="F25" s="41">
        <v>0.28000000000000003</v>
      </c>
      <c r="G25" s="14"/>
    </row>
    <row r="26" spans="1:8" ht="27.75" customHeight="1" thickBot="1" x14ac:dyDescent="0.25">
      <c r="A26" s="16" t="s">
        <v>74</v>
      </c>
      <c r="B26" s="11"/>
      <c r="C26" s="48">
        <f>C24-C25</f>
        <v>-1512</v>
      </c>
      <c r="D26" s="15"/>
      <c r="E26" s="15"/>
      <c r="F26" s="15"/>
      <c r="G26" s="15"/>
    </row>
    <row r="27" spans="1:8" ht="30" customHeight="1" thickBot="1" x14ac:dyDescent="0.25">
      <c r="E27" s="58" t="s">
        <v>68</v>
      </c>
      <c r="F27" s="59"/>
      <c r="G27" s="59"/>
      <c r="H27" s="60"/>
    </row>
    <row r="28" spans="1:8" ht="30.75" customHeight="1" thickBot="1" x14ac:dyDescent="0.25">
      <c r="A28" s="16" t="s">
        <v>61</v>
      </c>
      <c r="B28" s="42" t="s">
        <v>62</v>
      </c>
      <c r="C28" s="52">
        <f>C26/C4</f>
        <v>-7.9578947368421048E-3</v>
      </c>
      <c r="E28" s="55" t="s">
        <v>69</v>
      </c>
      <c r="F28" s="56"/>
      <c r="G28" s="56"/>
      <c r="H28" s="57"/>
    </row>
    <row r="29" spans="1:8" x14ac:dyDescent="0.2">
      <c r="A29" s="6"/>
      <c r="B29" s="9"/>
    </row>
  </sheetData>
  <mergeCells count="3">
    <mergeCell ref="B1:C1"/>
    <mergeCell ref="E28:H28"/>
    <mergeCell ref="E27:H27"/>
  </mergeCells>
  <phoneticPr fontId="0" type="noConversion"/>
  <pageMargins left="0.27559055118110237" right="0.23622047244094491" top="0.9055118110236221" bottom="0.19685039370078741" header="0.27559055118110237" footer="0.19685039370078741"/>
  <pageSetup paperSize="9" scale="8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 CDR</vt:lpstr>
      <vt:lpstr>' CDR'!Zone_d_impression</vt:lpstr>
    </vt:vector>
  </TitlesOfParts>
  <Company>Strat&amp;Logic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LAVOGIEZ Laurent</dc:creator>
  <cp:lastModifiedBy>Leandre Gachet</cp:lastModifiedBy>
  <cp:lastPrinted>2019-01-17T16:07:16Z</cp:lastPrinted>
  <dcterms:created xsi:type="dcterms:W3CDTF">2002-01-25T16:36:49Z</dcterms:created>
  <dcterms:modified xsi:type="dcterms:W3CDTF">2022-03-23T16:08:34Z</dcterms:modified>
</cp:coreProperties>
</file>