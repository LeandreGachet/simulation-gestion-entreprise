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/>
  <mc:AlternateContent xmlns:mc="http://schemas.openxmlformats.org/markup-compatibility/2006">
    <mc:Choice Requires="x15">
      <x15ac:absPath xmlns:x15ac="http://schemas.microsoft.com/office/spreadsheetml/2010/11/ac" url="H:\SAE - 205\"/>
    </mc:Choice>
  </mc:AlternateContent>
  <xr:revisionPtr revIDLastSave="0" documentId="13_ncr:1_{D0C0AEFE-92E6-445E-A38D-645DCEBD4150}" xr6:coauthVersionLast="36" xr6:coauthVersionMax="45" xr10:uidLastSave="{00000000-0000-0000-0000-000000000000}"/>
  <bookViews>
    <workbookView xWindow="0" yWindow="0" windowWidth="21570" windowHeight="7980" tabRatio="875" xr2:uid="{00000000-000D-0000-FFFF-FFFF00000000}"/>
  </bookViews>
  <sheets>
    <sheet name="Décisions" sheetId="10" r:id="rId1"/>
    <sheet name="Validation décisions" sheetId="11" r:id="rId2"/>
    <sheet name=" Compte de Résultats" sheetId="6" r:id="rId3"/>
    <sheet name="Bilan" sheetId="7" r:id="rId4"/>
    <sheet name="Emprunts" sheetId="12" r:id="rId5"/>
    <sheet name="Marge nette d'expl. " sheetId="14" r:id="rId6"/>
    <sheet name="Paramètres" sheetId="9" r:id="rId7"/>
  </sheets>
  <definedNames>
    <definedName name="amort_stat_restantes">'Validation décisions'!$Z$38</definedName>
    <definedName name="an">Décisions!$I$2</definedName>
    <definedName name="an_debut">Paramètres!$E$30:$F$35</definedName>
    <definedName name="capac_station">Paramètres!$B$21</definedName>
    <definedName name="capac_tot_stations">'Validation décisions'!$Z$43</definedName>
    <definedName name="cout_comp">Paramètres!$F$3:$K$4</definedName>
    <definedName name="déc_offre">Décisions!$B$6:$F$11</definedName>
    <definedName name="durée_amort">Paramètres!$B$20</definedName>
    <definedName name="liste_niveau">Paramètres!$E$7:$E$10</definedName>
    <definedName name="liste_temps">Paramètres!$E$20:$E$23</definedName>
    <definedName name="Max_com_ext">Paramètres!$C$59</definedName>
    <definedName name="Max_com_int">Paramètres!$C$58</definedName>
    <definedName name="Max_form_A">Paramètres!$C$57</definedName>
    <definedName name="Max_form_T" localSheetId="5">Paramètres!#REF!</definedName>
    <definedName name="Max_form_T">Paramètres!#REF!</definedName>
    <definedName name="Max_ind_Cons">Paramètres!$C$56</definedName>
    <definedName name="Max_ind_Tech">Paramètres!$C$55</definedName>
    <definedName name="Min_ind_Cons">Paramètres!$B$56</definedName>
    <definedName name="Min_ind_Tech">Paramètres!$B$55</definedName>
    <definedName name="Px_achat_station">Paramètres!$B$18</definedName>
    <definedName name="Px_cession_station">Paramètres!$B$19</definedName>
    <definedName name="tab_niveau">Paramètres!$E$6:$K$10</definedName>
    <definedName name="tab_temps">Paramètres!$E$19:$K$23</definedName>
    <definedName name="tab_usure">Paramètres!$E$40:$F$49</definedName>
    <definedName name="val_nette_stat_cedees">'Validation décisions'!$Z$47</definedName>
    <definedName name="_xlnm.Print_Area" localSheetId="2">' Compte de Résultats'!$A$5:$H$32</definedName>
    <definedName name="_xlnm.Print_Area" localSheetId="3">Bilan!$A$1:$B$27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10" l="1"/>
  <c r="G11" i="10"/>
  <c r="G7" i="10" l="1"/>
  <c r="G8" i="10"/>
  <c r="G9" i="10"/>
  <c r="G6" i="10"/>
  <c r="H8" i="10" l="1"/>
  <c r="K20" i="11"/>
  <c r="J20" i="11"/>
  <c r="F40" i="9"/>
  <c r="F41" i="9"/>
  <c r="F42" i="9"/>
  <c r="F43" i="9"/>
  <c r="F44" i="9"/>
  <c r="B27" i="6"/>
  <c r="Y38" i="11"/>
  <c r="X47" i="11"/>
  <c r="Y47" i="11"/>
  <c r="X45" i="11"/>
  <c r="Y45" i="11"/>
  <c r="X46" i="11"/>
  <c r="Y46" i="11"/>
  <c r="Y44" i="11"/>
  <c r="Z44" i="11"/>
  <c r="Y43" i="11"/>
  <c r="R36" i="11"/>
  <c r="R44" i="11" s="1"/>
  <c r="S36" i="11"/>
  <c r="S44" i="11" s="1"/>
  <c r="T36" i="11"/>
  <c r="T44" i="11" s="1"/>
  <c r="U36" i="11"/>
  <c r="U44" i="11"/>
  <c r="V36" i="11"/>
  <c r="V44" i="11"/>
  <c r="W36" i="11"/>
  <c r="W44" i="11"/>
  <c r="X36" i="11"/>
  <c r="Y36" i="11"/>
  <c r="Z36" i="11"/>
  <c r="Q36" i="11"/>
  <c r="Q44" i="11" s="1"/>
  <c r="X42" i="11"/>
  <c r="Y42" i="11"/>
  <c r="Z42" i="11"/>
  <c r="Q42" i="11"/>
  <c r="S42" i="11"/>
  <c r="U42" i="11"/>
  <c r="W42" i="11"/>
  <c r="R35" i="11"/>
  <c r="S35" i="11"/>
  <c r="T35" i="11"/>
  <c r="U35" i="11"/>
  <c r="V35" i="11"/>
  <c r="W35" i="11"/>
  <c r="X35" i="11"/>
  <c r="Y35" i="11"/>
  <c r="Q35" i="11"/>
  <c r="R34" i="11"/>
  <c r="S34" i="11"/>
  <c r="T34" i="11"/>
  <c r="U34" i="11"/>
  <c r="V34" i="11"/>
  <c r="W34" i="11"/>
  <c r="X34" i="11"/>
  <c r="Y34" i="11"/>
  <c r="Q34" i="11"/>
  <c r="O32" i="10"/>
  <c r="P33" i="11"/>
  <c r="P32" i="11"/>
  <c r="H32" i="10"/>
  <c r="I32" i="10"/>
  <c r="J32" i="10"/>
  <c r="K32" i="10"/>
  <c r="L32" i="10"/>
  <c r="M32" i="10"/>
  <c r="N32" i="10"/>
  <c r="J7" i="11" a="1"/>
  <c r="M7" i="11" s="1"/>
  <c r="J6" i="11" a="1"/>
  <c r="J6" i="11" s="1"/>
  <c r="J5" i="11" a="1"/>
  <c r="K5" i="11" s="1"/>
  <c r="J4" i="11" a="1"/>
  <c r="J4" i="11" s="1"/>
  <c r="J8" i="11" a="1"/>
  <c r="M8" i="11" s="1"/>
  <c r="J27" i="11"/>
  <c r="K27" i="11" s="1"/>
  <c r="J26" i="11"/>
  <c r="K26" i="11" s="1"/>
  <c r="J24" i="11"/>
  <c r="K24" i="11" s="1"/>
  <c r="J23" i="11"/>
  <c r="K23" i="11" s="1"/>
  <c r="D8" i="7"/>
  <c r="D2" i="7"/>
  <c r="E1" i="7"/>
  <c r="C1" i="7"/>
  <c r="B25" i="6"/>
  <c r="J33" i="14"/>
  <c r="J32" i="14"/>
  <c r="J20" i="14"/>
  <c r="J13" i="14"/>
  <c r="H1" i="14"/>
  <c r="E1" i="14"/>
  <c r="C1" i="14"/>
  <c r="E1" i="6"/>
  <c r="C1" i="6"/>
  <c r="B3" i="12"/>
  <c r="B9" i="12" s="1"/>
  <c r="E4" i="12"/>
  <c r="E3" i="12"/>
  <c r="D7" i="7"/>
  <c r="B13" i="7"/>
  <c r="B35" i="11"/>
  <c r="B24" i="6" s="1"/>
  <c r="K17" i="11"/>
  <c r="K18" i="11"/>
  <c r="K19" i="11"/>
  <c r="K16" i="11"/>
  <c r="K14" i="11"/>
  <c r="K15" i="11"/>
  <c r="K13" i="11"/>
  <c r="K11" i="11"/>
  <c r="K12" i="11"/>
  <c r="K10" i="11"/>
  <c r="J11" i="11"/>
  <c r="J12" i="11"/>
  <c r="J13" i="11"/>
  <c r="J14" i="11"/>
  <c r="J15" i="11"/>
  <c r="J16" i="11"/>
  <c r="J17" i="11"/>
  <c r="J18" i="11"/>
  <c r="J19" i="11"/>
  <c r="J10" i="11"/>
  <c r="B14" i="6"/>
  <c r="B7" i="6"/>
  <c r="H1" i="6"/>
  <c r="B26" i="11"/>
  <c r="B28" i="11" s="1"/>
  <c r="B20" i="11"/>
  <c r="C20" i="11" s="1"/>
  <c r="B21" i="11"/>
  <c r="C21" i="11" s="1"/>
  <c r="B22" i="11"/>
  <c r="C22" i="11" s="1"/>
  <c r="B23" i="11"/>
  <c r="C23" i="11" s="1"/>
  <c r="B24" i="11"/>
  <c r="C24" i="11" s="1"/>
  <c r="B19" i="11"/>
  <c r="C19" i="11" s="1"/>
  <c r="B14" i="11"/>
  <c r="B16" i="11" s="1"/>
  <c r="B13" i="11"/>
  <c r="B7" i="11"/>
  <c r="C7" i="11" s="1"/>
  <c r="D7" i="11" s="1"/>
  <c r="B8" i="11"/>
  <c r="C8" i="11" s="1"/>
  <c r="D8" i="11" s="1"/>
  <c r="B9" i="11"/>
  <c r="C9" i="11" s="1"/>
  <c r="D9" i="11" s="1"/>
  <c r="B10" i="11"/>
  <c r="C10" i="11" s="1"/>
  <c r="D10" i="11" s="1"/>
  <c r="B11" i="11"/>
  <c r="C11" i="11" s="1"/>
  <c r="D11" i="11" s="1"/>
  <c r="B6" i="11"/>
  <c r="C6" i="11" s="1"/>
  <c r="D6" i="11" s="1"/>
  <c r="A3" i="11"/>
  <c r="X44" i="11"/>
  <c r="V42" i="11"/>
  <c r="T42" i="11"/>
  <c r="R42" i="11"/>
  <c r="V38" i="11"/>
  <c r="U45" i="11"/>
  <c r="U47" i="11"/>
  <c r="V43" i="11"/>
  <c r="W38" i="11"/>
  <c r="U46" i="11"/>
  <c r="W43" i="11"/>
  <c r="W45" i="11"/>
  <c r="W47" i="11"/>
  <c r="X43" i="11"/>
  <c r="X38" i="11"/>
  <c r="V45" i="11"/>
  <c r="V47" i="11"/>
  <c r="V46" i="11"/>
  <c r="W46" i="11"/>
  <c r="Z45" i="11" l="1"/>
  <c r="B32" i="11" s="1"/>
  <c r="B26" i="6"/>
  <c r="D9" i="12"/>
  <c r="B15" i="6"/>
  <c r="J34" i="14" s="1"/>
  <c r="J35" i="14" s="1"/>
  <c r="N7" i="11"/>
  <c r="O6" i="14" s="1"/>
  <c r="O7" i="11"/>
  <c r="P6" i="14" s="1"/>
  <c r="L7" i="11"/>
  <c r="M6" i="14" s="1"/>
  <c r="K7" i="11"/>
  <c r="L6" i="14" s="1"/>
  <c r="M6" i="11"/>
  <c r="N6" i="11"/>
  <c r="N5" i="11"/>
  <c r="M5" i="11"/>
  <c r="F10" i="6" s="1"/>
  <c r="L5" i="11"/>
  <c r="O5" i="11"/>
  <c r="L8" i="11"/>
  <c r="N8" i="11"/>
  <c r="O8" i="11"/>
  <c r="Z34" i="11"/>
  <c r="Z35" i="11"/>
  <c r="B19" i="6"/>
  <c r="J12" i="14" s="1"/>
  <c r="J14" i="14" s="1"/>
  <c r="B15" i="11"/>
  <c r="D13" i="11" s="1"/>
  <c r="N4" i="11"/>
  <c r="K4" i="11"/>
  <c r="C6" i="14" s="1"/>
  <c r="O4" i="11"/>
  <c r="G6" i="14" s="1"/>
  <c r="M4" i="11"/>
  <c r="E6" i="14" s="1"/>
  <c r="L4" i="11"/>
  <c r="D6" i="14" s="1"/>
  <c r="K28" i="11"/>
  <c r="D14" i="11"/>
  <c r="J8" i="11"/>
  <c r="C25" i="11"/>
  <c r="N6" i="14"/>
  <c r="D10" i="6"/>
  <c r="D35" i="11"/>
  <c r="B27" i="11"/>
  <c r="B6" i="12"/>
  <c r="O6" i="11"/>
  <c r="J7" i="11"/>
  <c r="B18" i="6"/>
  <c r="B6" i="14"/>
  <c r="K8" i="11"/>
  <c r="L6" i="11"/>
  <c r="J5" i="11"/>
  <c r="K6" i="11"/>
  <c r="E8" i="14" l="1"/>
  <c r="AA44" i="11"/>
  <c r="H10" i="6"/>
  <c r="D32" i="11"/>
  <c r="G10" i="6"/>
  <c r="P17" i="14"/>
  <c r="H6" i="6"/>
  <c r="H8" i="6" s="1"/>
  <c r="E9" i="14"/>
  <c r="F6" i="6"/>
  <c r="F8" i="6" s="1"/>
  <c r="D26" i="11"/>
  <c r="M17" i="14"/>
  <c r="E6" i="6"/>
  <c r="E8" i="6" s="1"/>
  <c r="E10" i="6"/>
  <c r="D27" i="11"/>
  <c r="P8" i="11"/>
  <c r="B13" i="6" s="1"/>
  <c r="Q37" i="11"/>
  <c r="Q40" i="11" s="1"/>
  <c r="Q41" i="11" s="1"/>
  <c r="Q39" i="11"/>
  <c r="R39" i="11" s="1"/>
  <c r="C8" i="14"/>
  <c r="D6" i="6"/>
  <c r="D8" i="6" s="1"/>
  <c r="C9" i="14"/>
  <c r="G9" i="14"/>
  <c r="P30" i="14"/>
  <c r="G8" i="14"/>
  <c r="D8" i="14"/>
  <c r="M30" i="14"/>
  <c r="F6" i="14"/>
  <c r="O30" i="14" s="1"/>
  <c r="G6" i="6"/>
  <c r="G8" i="6" s="1"/>
  <c r="D9" i="14"/>
  <c r="O17" i="14"/>
  <c r="C11" i="12"/>
  <c r="C9" i="12"/>
  <c r="E9" i="12" s="1"/>
  <c r="F9" i="12" s="1"/>
  <c r="C10" i="12"/>
  <c r="C13" i="12"/>
  <c r="C12" i="12"/>
  <c r="B8" i="14"/>
  <c r="B20" i="6"/>
  <c r="J19" i="14"/>
  <c r="J21" i="14" s="1"/>
  <c r="N30" i="14"/>
  <c r="N17" i="14"/>
  <c r="L30" i="14"/>
  <c r="L17" i="14"/>
  <c r="K6" i="14"/>
  <c r="B9" i="14" s="1"/>
  <c r="C10" i="6"/>
  <c r="C6" i="6"/>
  <c r="Q45" i="11" l="1"/>
  <c r="Q46" i="11" s="1"/>
  <c r="Q43" i="11"/>
  <c r="Q38" i="11"/>
  <c r="B10" i="6"/>
  <c r="R37" i="11"/>
  <c r="F8" i="14"/>
  <c r="F9" i="14"/>
  <c r="C8" i="6"/>
  <c r="B8" i="6" s="1"/>
  <c r="B6" i="6"/>
  <c r="J6" i="14"/>
  <c r="K30" i="14"/>
  <c r="K17" i="14"/>
  <c r="B10" i="12"/>
  <c r="D12" i="7"/>
  <c r="S37" i="11"/>
  <c r="S39" i="11"/>
  <c r="Q47" i="11" l="1"/>
  <c r="F10" i="14"/>
  <c r="G10" i="14"/>
  <c r="C10" i="14"/>
  <c r="D10" i="14"/>
  <c r="S38" i="11"/>
  <c r="S43" i="11"/>
  <c r="R40" i="11"/>
  <c r="R41" i="11" s="1"/>
  <c r="R45" i="11" s="1"/>
  <c r="R47" i="11" s="1"/>
  <c r="R38" i="11"/>
  <c r="R43" i="11"/>
  <c r="E10" i="14"/>
  <c r="B10" i="14"/>
  <c r="J17" i="14"/>
  <c r="K18" i="14" s="1"/>
  <c r="J30" i="14"/>
  <c r="K31" i="14" s="1"/>
  <c r="M11" i="14"/>
  <c r="P11" i="14"/>
  <c r="O11" i="14"/>
  <c r="L11" i="14"/>
  <c r="N11" i="14"/>
  <c r="D10" i="12"/>
  <c r="E10" i="12" s="1"/>
  <c r="F10" i="12" s="1"/>
  <c r="B11" i="12" s="1"/>
  <c r="T39" i="11"/>
  <c r="T37" i="11"/>
  <c r="S40" i="11"/>
  <c r="K11" i="14"/>
  <c r="S41" i="11" l="1"/>
  <c r="T40" i="11"/>
  <c r="T41" i="11" s="1"/>
  <c r="T43" i="11"/>
  <c r="T38" i="11"/>
  <c r="R46" i="11"/>
  <c r="J11" i="14"/>
  <c r="D11" i="12"/>
  <c r="E11" i="12" s="1"/>
  <c r="F11" i="12" s="1"/>
  <c r="B12" i="12" s="1"/>
  <c r="K24" i="14"/>
  <c r="K21" i="14"/>
  <c r="B11" i="14" s="1"/>
  <c r="M31" i="14"/>
  <c r="M35" i="14" s="1"/>
  <c r="D13" i="14" s="1"/>
  <c r="P31" i="14"/>
  <c r="P35" i="14" s="1"/>
  <c r="G13" i="14" s="1"/>
  <c r="N31" i="14"/>
  <c r="N35" i="14" s="1"/>
  <c r="E13" i="14" s="1"/>
  <c r="O31" i="14"/>
  <c r="O35" i="14" s="1"/>
  <c r="F13" i="14" s="1"/>
  <c r="L31" i="14"/>
  <c r="L35" i="14" s="1"/>
  <c r="C13" i="14" s="1"/>
  <c r="U39" i="11"/>
  <c r="U37" i="11"/>
  <c r="K35" i="14"/>
  <c r="B13" i="14" s="1"/>
  <c r="P18" i="14"/>
  <c r="M18" i="14"/>
  <c r="N18" i="14"/>
  <c r="O18" i="14"/>
  <c r="L18" i="14"/>
  <c r="S45" i="11" l="1"/>
  <c r="S47" i="11" s="1"/>
  <c r="U40" i="11"/>
  <c r="U38" i="11"/>
  <c r="Z38" i="11" s="1"/>
  <c r="B9" i="7" s="1"/>
  <c r="U43" i="11"/>
  <c r="Z43" i="11" s="1"/>
  <c r="B31" i="11" s="1"/>
  <c r="D30" i="11" s="1"/>
  <c r="J18" i="14"/>
  <c r="J24" i="14" s="1"/>
  <c r="J31" i="14"/>
  <c r="D12" i="12"/>
  <c r="E12" i="12" s="1"/>
  <c r="F12" i="12" s="1"/>
  <c r="B13" i="12" s="1"/>
  <c r="U41" i="11"/>
  <c r="L24" i="14"/>
  <c r="L21" i="14"/>
  <c r="C11" i="14" s="1"/>
  <c r="N24" i="14"/>
  <c r="N21" i="14"/>
  <c r="E11" i="14" s="1"/>
  <c r="M24" i="14"/>
  <c r="M21" i="14"/>
  <c r="D11" i="14" s="1"/>
  <c r="O24" i="14"/>
  <c r="O21" i="14"/>
  <c r="F11" i="14" s="1"/>
  <c r="V39" i="11"/>
  <c r="V37" i="11"/>
  <c r="V40" i="11" s="1"/>
  <c r="P24" i="14"/>
  <c r="P21" i="14"/>
  <c r="G11" i="14" s="1"/>
  <c r="S46" i="11" l="1"/>
  <c r="D13" i="12"/>
  <c r="E13" i="12" s="1"/>
  <c r="F13" i="12" s="1"/>
  <c r="W39" i="11"/>
  <c r="W37" i="11"/>
  <c r="W40" i="11" s="1"/>
  <c r="V41" i="11"/>
  <c r="T45" i="11" l="1"/>
  <c r="T47" i="11" s="1"/>
  <c r="Z47" i="11" s="1"/>
  <c r="B28" i="6" s="1"/>
  <c r="B29" i="6" s="1"/>
  <c r="X39" i="11"/>
  <c r="X37" i="11"/>
  <c r="X40" i="11" s="1"/>
  <c r="W41" i="11"/>
  <c r="T46" i="11" l="1"/>
  <c r="X41" i="11"/>
  <c r="Y37" i="11"/>
  <c r="Y39" i="11"/>
  <c r="Z39" i="11" s="1"/>
  <c r="Y40" i="11" l="1"/>
  <c r="Y41" i="11" s="1"/>
  <c r="Z37" i="11"/>
  <c r="B30" i="11" l="1"/>
  <c r="B8" i="7"/>
  <c r="B10" i="7" s="1"/>
  <c r="B11" i="7" s="1"/>
  <c r="J6" i="7" l="1"/>
  <c r="B12" i="6"/>
  <c r="B21" i="6"/>
  <c r="J26" i="14" l="1"/>
  <c r="J25" i="14"/>
  <c r="B16" i="6"/>
  <c r="B22" i="6" s="1"/>
  <c r="J27" i="14" l="1"/>
  <c r="K27" i="14" s="1"/>
  <c r="B12" i="14" s="1"/>
  <c r="B23" i="6"/>
  <c r="B30" i="6"/>
  <c r="P27" i="14" l="1"/>
  <c r="G12" i="14" s="1"/>
  <c r="O27" i="14"/>
  <c r="F12" i="14" s="1"/>
  <c r="N27" i="14"/>
  <c r="E12" i="14" s="1"/>
  <c r="E15" i="14" s="1"/>
  <c r="E26" i="14" s="1"/>
  <c r="M27" i="14"/>
  <c r="D12" i="14" s="1"/>
  <c r="L27" i="14"/>
  <c r="C12" i="14" s="1"/>
  <c r="B15" i="14"/>
  <c r="B26" i="14" s="1"/>
  <c r="B31" i="6"/>
  <c r="D13" i="7" s="1"/>
  <c r="G15" i="14" l="1"/>
  <c r="G26" i="14" s="1"/>
  <c r="F15" i="14"/>
  <c r="F26" i="14" s="1"/>
  <c r="D15" i="14"/>
  <c r="D26" i="14" s="1"/>
  <c r="C15" i="14"/>
  <c r="C26" i="14" s="1"/>
  <c r="B22" i="14"/>
  <c r="B17" i="14"/>
  <c r="B18" i="14" s="1"/>
  <c r="B24" i="14"/>
  <c r="B27" i="14"/>
  <c r="B23" i="14"/>
  <c r="B25" i="14"/>
  <c r="E27" i="14"/>
  <c r="E17" i="14"/>
  <c r="E18" i="14" s="1"/>
  <c r="E24" i="14"/>
  <c r="E25" i="14"/>
  <c r="E23" i="14"/>
  <c r="E22" i="14"/>
  <c r="B32" i="6"/>
  <c r="D9" i="7" s="1"/>
  <c r="D10" i="7" s="1"/>
  <c r="G22" i="14" l="1"/>
  <c r="G23" i="14"/>
  <c r="G17" i="14"/>
  <c r="G18" i="14" s="1"/>
  <c r="G27" i="14"/>
  <c r="G24" i="14"/>
  <c r="G25" i="14"/>
  <c r="F27" i="14"/>
  <c r="F24" i="14"/>
  <c r="F22" i="14"/>
  <c r="F17" i="14"/>
  <c r="F18" i="14" s="1"/>
  <c r="F23" i="14"/>
  <c r="F25" i="14"/>
  <c r="D22" i="14"/>
  <c r="D23" i="14"/>
  <c r="D27" i="14"/>
  <c r="D24" i="14"/>
  <c r="D17" i="14"/>
  <c r="D18" i="14" s="1"/>
  <c r="D25" i="14"/>
  <c r="C22" i="14"/>
  <c r="C25" i="14"/>
  <c r="C24" i="14"/>
  <c r="C27" i="14"/>
  <c r="C23" i="14"/>
  <c r="C17" i="14"/>
  <c r="C18" i="14" s="1"/>
  <c r="J7" i="7"/>
  <c r="B14" i="7" l="1"/>
  <c r="B15" i="7" s="1"/>
  <c r="B16" i="7" s="1"/>
  <c r="D14" i="7"/>
  <c r="D15" i="7" s="1"/>
  <c r="D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I2" authorId="0" shapeId="0" xr:uid="{00000000-0006-0000-0000-000001000000}">
      <text>
        <r>
          <rPr>
            <sz val="10"/>
            <color rgb="FF000000"/>
            <rFont val="Tahoma"/>
            <family val="2"/>
          </rPr>
          <t>A remplir pour la validation des données et le nombre de stations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F33" authorId="0" shapeId="0" xr:uid="{00000000-0006-0000-0000-000002000000}">
      <text>
        <r>
          <rPr>
            <sz val="10"/>
            <color rgb="FF000000"/>
            <rFont val="Tahoma"/>
            <family val="2"/>
          </rPr>
          <t>Nb total y compris les remplacements, aussi bien pour les achats que les ventes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37" authorId="0" shapeId="0" xr:uid="{00000000-0006-0000-0000-000003000000}">
      <text>
        <r>
          <rPr>
            <sz val="10"/>
            <color rgb="FF000000"/>
            <rFont val="Tahoma"/>
            <family val="2"/>
          </rPr>
          <t>Uniquement pour obtenir le bilan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6" authorId="0" shapeId="0" xr:uid="{00000000-0006-0000-0000-000004000000}">
      <text>
        <r>
          <rPr>
            <sz val="10"/>
            <color rgb="FF000000"/>
            <rFont val="Tahoma"/>
            <family val="2"/>
          </rPr>
          <t>Cumuler les annuités de tous les emprunts encore en cours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9" authorId="0" shapeId="0" xr:uid="{00000000-0006-0000-0000-000005000000}">
      <text>
        <r>
          <rPr>
            <sz val="11"/>
            <color rgb="FF000000"/>
            <rFont val="Lucida Grande"/>
            <family val="2"/>
          </rPr>
          <t xml:space="preserve">Lors du premier résultat net négatif, saisir le montant du déficit (en valeur positive);
</t>
        </r>
        <r>
          <rPr>
            <sz val="11"/>
            <color rgb="FF000000"/>
            <rFont val="Lucida Grande"/>
            <family val="2"/>
          </rPr>
          <t xml:space="preserve">Ensuite, le diminuer des résultats positifs et l'augmenter des résultats négatifs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1" authorId="0" shapeId="0" xr:uid="{00000000-0006-0000-0100-000001000000}">
      <text>
        <r>
          <rPr>
            <b/>
            <sz val="8"/>
            <color rgb="FF000000"/>
            <rFont val="Tahoma"/>
            <family val="2"/>
          </rPr>
          <t>A masquer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P44" authorId="0" shapeId="0" xr:uid="{00000000-0006-0000-0100-000002000000}">
      <text>
        <r>
          <rPr>
            <b/>
            <sz val="8"/>
            <color rgb="FF000000"/>
            <rFont val="Tahoma"/>
            <family val="2"/>
          </rPr>
          <t>Pb si le paramètre px_achat_station change en cours de jeu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AA44" authorId="0" shapeId="0" xr:uid="{00000000-0006-0000-0100-000003000000}">
      <text>
        <r>
          <rPr>
            <b/>
            <sz val="8"/>
            <color rgb="FF000000"/>
            <rFont val="Tahoma"/>
            <family val="2"/>
          </rPr>
          <t>Nb stations vendues avant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Z45" authorId="0" shapeId="0" xr:uid="{00000000-0006-0000-0100-000004000000}">
      <text>
        <r>
          <rPr>
            <b/>
            <sz val="8"/>
            <color rgb="FF000000"/>
            <rFont val="Tahoma"/>
            <family val="2"/>
          </rPr>
          <t>Nb stations vendues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B27" authorId="0" shapeId="0" xr:uid="{00000000-0006-0000-0200-000001000000}">
      <text>
        <r>
          <rPr>
            <sz val="8"/>
            <color rgb="FF000000"/>
            <rFont val="Tahoma"/>
            <family val="2"/>
          </rPr>
          <t xml:space="preserve">Px cession inchangé si station amortie 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 masquer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A36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Paramètres supplémentaires V3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<sst xmlns="http://schemas.openxmlformats.org/spreadsheetml/2006/main" count="382" uniqueCount="240">
  <si>
    <t>Actif immobilisé</t>
  </si>
  <si>
    <t>Actif circulant</t>
  </si>
  <si>
    <t>Disponibilités</t>
  </si>
  <si>
    <t>Total actif circulant</t>
  </si>
  <si>
    <t>TOTAL ACTIF</t>
  </si>
  <si>
    <t>Capitaux propres</t>
  </si>
  <si>
    <t>Capital</t>
  </si>
  <si>
    <t>Réserves</t>
  </si>
  <si>
    <t>Résultat de l'exercice</t>
  </si>
  <si>
    <t>Total capitaux propres</t>
  </si>
  <si>
    <t>Dettes</t>
  </si>
  <si>
    <t>Emprunts à long et moyen terme</t>
  </si>
  <si>
    <t>Concours bancaires</t>
  </si>
  <si>
    <t>TOTAL PASSIF</t>
  </si>
  <si>
    <t>Produits financiers</t>
  </si>
  <si>
    <t>Etudes</t>
  </si>
  <si>
    <t>Total</t>
  </si>
  <si>
    <t>Personnel</t>
  </si>
  <si>
    <t>Charges financières</t>
  </si>
  <si>
    <t>Produits d'exploitation</t>
  </si>
  <si>
    <t>Total des produits</t>
  </si>
  <si>
    <t>Charges d'exploitation</t>
  </si>
  <si>
    <t>Charges externes</t>
  </si>
  <si>
    <t>Dotations aux amortissements</t>
  </si>
  <si>
    <t>Total des charges</t>
  </si>
  <si>
    <t>Résultat d'exploitation</t>
  </si>
  <si>
    <t>Résultat financier</t>
  </si>
  <si>
    <t>Produits exceptionnels</t>
  </si>
  <si>
    <t>Charges exceptionnelles</t>
  </si>
  <si>
    <t>Résultat exceptionnel</t>
  </si>
  <si>
    <t>Résultat avant impôts</t>
  </si>
  <si>
    <t>Résultat</t>
  </si>
  <si>
    <t>Placements</t>
  </si>
  <si>
    <t>Dettes fiscales</t>
  </si>
  <si>
    <t>Ventes</t>
  </si>
  <si>
    <t>Autres produits d'exploitation</t>
  </si>
  <si>
    <t>Achats de consommables</t>
  </si>
  <si>
    <t>Entretien des bancs</t>
  </si>
  <si>
    <t>Communication</t>
  </si>
  <si>
    <t>Formation</t>
  </si>
  <si>
    <t>Personnel technique</t>
  </si>
  <si>
    <t>Personnel d'accueil</t>
  </si>
  <si>
    <t>Brut</t>
  </si>
  <si>
    <t>Net</t>
  </si>
  <si>
    <t>Total actif immobilisé</t>
  </si>
  <si>
    <t>Total dettes</t>
  </si>
  <si>
    <t>Terstrat</t>
  </si>
  <si>
    <t>Univers</t>
  </si>
  <si>
    <t>An</t>
  </si>
  <si>
    <t>FICHE DE DECISIONS</t>
  </si>
  <si>
    <t>Entreprise n° :</t>
  </si>
  <si>
    <t>Année :</t>
  </si>
  <si>
    <t>Définition de l'offre commerciale</t>
  </si>
  <si>
    <t>Prix de vente (€)</t>
  </si>
  <si>
    <t>Gestion du personnel</t>
  </si>
  <si>
    <t>Recrutement / Licenciement (+/-)</t>
  </si>
  <si>
    <t>Indice de salaire (base 100)</t>
  </si>
  <si>
    <t>Budget formation (€)</t>
  </si>
  <si>
    <t>Techniciens / développeurs</t>
  </si>
  <si>
    <t>€</t>
  </si>
  <si>
    <t>Conseillers</t>
  </si>
  <si>
    <t>Etudes de marché</t>
  </si>
  <si>
    <t>Budget interne (accueil)</t>
  </si>
  <si>
    <t xml:space="preserve"> €</t>
  </si>
  <si>
    <t>Gestion des immobilisations</t>
  </si>
  <si>
    <t>Achat / Cession de stations de travail (+/-)</t>
  </si>
  <si>
    <t>Remplacement de stations de travail</t>
  </si>
  <si>
    <t>Finances</t>
  </si>
  <si>
    <t>Demande d'emprunt (€)</t>
  </si>
  <si>
    <t>Placements (+/-)</t>
  </si>
  <si>
    <t>Entreprise</t>
  </si>
  <si>
    <t>Prix</t>
  </si>
  <si>
    <t>Publicité</t>
  </si>
  <si>
    <t>Parts de marché</t>
  </si>
  <si>
    <t>Image de marque</t>
  </si>
  <si>
    <t>Questionnaire</t>
  </si>
  <si>
    <t>Volume prévisionnel</t>
  </si>
  <si>
    <t>Satisfaction de la clientèle</t>
  </si>
  <si>
    <t>Fidélisation de la clientèle</t>
  </si>
  <si>
    <t>Coût annuel d'entretien</t>
  </si>
  <si>
    <t>Investissement</t>
  </si>
  <si>
    <t>Cession</t>
  </si>
  <si>
    <t>Durée d'amortissement</t>
  </si>
  <si>
    <t>Paramètres généraux</t>
  </si>
  <si>
    <t>Capacité d'accueil</t>
  </si>
  <si>
    <t>Capacité de réparation</t>
  </si>
  <si>
    <t>Salaire du personnel d'accueil</t>
  </si>
  <si>
    <t>Salaire du personnel technique</t>
  </si>
  <si>
    <t>Environnement</t>
  </si>
  <si>
    <t>Taux d'impôt sur les sociétés</t>
  </si>
  <si>
    <t>Taux de découvert bancaire</t>
  </si>
  <si>
    <t>Taux de placement</t>
  </si>
  <si>
    <t>Paramètres prestations</t>
  </si>
  <si>
    <t xml:space="preserve">Qualité des composants </t>
  </si>
  <si>
    <t>Coût indice 100</t>
  </si>
  <si>
    <t>Niveau</t>
  </si>
  <si>
    <t>Temps de réparation</t>
  </si>
  <si>
    <t>Temps indice 100</t>
  </si>
  <si>
    <t>Niveau de temps</t>
  </si>
  <si>
    <t>Long</t>
  </si>
  <si>
    <t>Très long</t>
  </si>
  <si>
    <t>Réinstallation PC</t>
  </si>
  <si>
    <t>Temps</t>
  </si>
  <si>
    <t>Développement d'applications</t>
  </si>
  <si>
    <t>Pack "site internet"</t>
  </si>
  <si>
    <t>Pack "réseau"</t>
  </si>
  <si>
    <t>Formation particulier</t>
  </si>
  <si>
    <t>Assemblage PC</t>
  </si>
  <si>
    <t>Satisfaction des clients</t>
  </si>
  <si>
    <t>Fidélisation des clients</t>
  </si>
  <si>
    <t>Liasse fiscale</t>
  </si>
  <si>
    <t>Budget 
Niveau</t>
  </si>
  <si>
    <t>Nb prestations prévues</t>
  </si>
  <si>
    <t>Nb total Techniciens / développeurs</t>
  </si>
  <si>
    <t>Nb total Conseillers</t>
  </si>
  <si>
    <t>Scenario</t>
  </si>
  <si>
    <t>Pack "Réseau"</t>
  </si>
  <si>
    <t xml:space="preserve">Prestation </t>
  </si>
  <si>
    <t>An début</t>
  </si>
  <si>
    <t>Prestations</t>
  </si>
  <si>
    <t>Erreurs sur la feuille de décisions</t>
  </si>
  <si>
    <t>Nb total de prestations</t>
  </si>
  <si>
    <t>Capacité  prestations maxi</t>
  </si>
  <si>
    <t>Paramètres internes</t>
  </si>
  <si>
    <t>Bonus max capacité accueil</t>
  </si>
  <si>
    <t>Bonus max capacité technique</t>
  </si>
  <si>
    <t>Techniciens</t>
  </si>
  <si>
    <t>Capacité  prestations standard</t>
  </si>
  <si>
    <t>Stations de travail</t>
  </si>
  <si>
    <t>Capacité d'une station</t>
  </si>
  <si>
    <t>Capacité techniciens standard</t>
  </si>
  <si>
    <t>Capacité  techniciens maxi</t>
  </si>
  <si>
    <t>Capacité stations</t>
  </si>
  <si>
    <t xml:space="preserve">Univers </t>
  </si>
  <si>
    <t>Attention !</t>
  </si>
  <si>
    <t>Intermédiaires de calcul</t>
  </si>
  <si>
    <t xml:space="preserve">Placements </t>
  </si>
  <si>
    <t>Impôts</t>
  </si>
  <si>
    <t>Min</t>
  </si>
  <si>
    <t>Max</t>
  </si>
  <si>
    <t>Indice salaire technicien</t>
  </si>
  <si>
    <t>Indice salaire accueil</t>
  </si>
  <si>
    <t>Conseillers (accueil)</t>
  </si>
  <si>
    <t>Nb de stations cédées</t>
  </si>
  <si>
    <t>Taux d'emprunt</t>
  </si>
  <si>
    <t>Report à nouveau</t>
  </si>
  <si>
    <t>Amortissement</t>
  </si>
  <si>
    <t>Augmentation de capital</t>
  </si>
  <si>
    <t>Durée emprunt</t>
  </si>
  <si>
    <t>ans</t>
  </si>
  <si>
    <t>Tableau d'amortissement d'un emprunt à annuités constantes</t>
  </si>
  <si>
    <t>Taux d'intérêt</t>
  </si>
  <si>
    <t>Durée</t>
  </si>
  <si>
    <t>Annuité</t>
  </si>
  <si>
    <t>Valeur initiale</t>
  </si>
  <si>
    <t>Intérêt</t>
  </si>
  <si>
    <t>Valeur finale</t>
  </si>
  <si>
    <t>Achat</t>
  </si>
  <si>
    <t>Prix de vente</t>
  </si>
  <si>
    <t>Charges indirectes</t>
  </si>
  <si>
    <t>Relatives à l'accueil</t>
  </si>
  <si>
    <t>Salaires</t>
  </si>
  <si>
    <t>Clé de répartition</t>
  </si>
  <si>
    <t>Nb prestations</t>
  </si>
  <si>
    <t>Relatives à la réparation</t>
  </si>
  <si>
    <t>Temps en réparation</t>
  </si>
  <si>
    <t>%</t>
  </si>
  <si>
    <t>Temps en réparation Total</t>
  </si>
  <si>
    <t>Relatives aux stations</t>
  </si>
  <si>
    <t>Amortissement des stations</t>
  </si>
  <si>
    <t>Entretien des stations</t>
  </si>
  <si>
    <t>Relatives à la structure</t>
  </si>
  <si>
    <t>CA</t>
  </si>
  <si>
    <t>CA total</t>
  </si>
  <si>
    <t>Communication interne</t>
  </si>
  <si>
    <t>Communication externe</t>
  </si>
  <si>
    <t>Coût de Revient global</t>
  </si>
  <si>
    <t>Marge nette d'exploitation</t>
  </si>
  <si>
    <t>en % du prix de vente</t>
  </si>
  <si>
    <t>Charges directes (composants)</t>
  </si>
  <si>
    <t>Décomposition des charges (en %)</t>
  </si>
  <si>
    <t>Actif</t>
  </si>
  <si>
    <t>Passif</t>
  </si>
  <si>
    <t>Bilan prévisionnel, sous l'hypothèse que toutes les prestations ont été réalisées</t>
  </si>
  <si>
    <t>Résultat prévisionnel, sous l'hypothèse que toutes les prestations ont été réalisées</t>
  </si>
  <si>
    <t>Marge prévisionnelle, sous l'hypothèse que toutes les prestations ont été réalisées</t>
  </si>
  <si>
    <t>Les produits et charges financiers et exceptionnels ne sont pas pris en compte.</t>
  </si>
  <si>
    <t>Données à reprendre dans le dernier bilan :</t>
  </si>
  <si>
    <t>Concours bancaire</t>
  </si>
  <si>
    <t xml:space="preserve">Emprunts </t>
  </si>
  <si>
    <t>Donnée à calculer :</t>
  </si>
  <si>
    <t>Rappel des données de la fin de la période précédente</t>
  </si>
  <si>
    <t>Données à reprendre dans les tableaux d'amortissement des emprunts</t>
  </si>
  <si>
    <t xml:space="preserve">Annuités d'emprunts </t>
  </si>
  <si>
    <t>Capital initial</t>
  </si>
  <si>
    <t>Promo produit (€)</t>
  </si>
  <si>
    <t>Embauche</t>
  </si>
  <si>
    <t>Licenciement</t>
  </si>
  <si>
    <t xml:space="preserve">Techniciens </t>
  </si>
  <si>
    <t>Coût embauche-licenciement</t>
  </si>
  <si>
    <t>Promo produit</t>
  </si>
  <si>
    <t>Charges directes (promo)</t>
  </si>
  <si>
    <t xml:space="preserve">Amortissement technique des stations </t>
  </si>
  <si>
    <t>Année achat</t>
  </si>
  <si>
    <t>Année +1</t>
  </si>
  <si>
    <t>Année +2</t>
  </si>
  <si>
    <t>Année +3</t>
  </si>
  <si>
    <t>Année +4</t>
  </si>
  <si>
    <t>Année +5 et plus</t>
  </si>
  <si>
    <t>Historique des stations</t>
  </si>
  <si>
    <t>Nb stations achetées</t>
  </si>
  <si>
    <t>Nb stations vendues</t>
  </si>
  <si>
    <t>Période</t>
  </si>
  <si>
    <t>Tx amort. Début pér.</t>
  </si>
  <si>
    <t>Solde</t>
  </si>
  <si>
    <t>Tx usure stations</t>
  </si>
  <si>
    <t>Tx usure</t>
  </si>
  <si>
    <t>Délai achat</t>
  </si>
  <si>
    <t>Nb vendu datant de pér</t>
  </si>
  <si>
    <t>Nb stations restantes</t>
  </si>
  <si>
    <t>Nb stat. cédées pér en cours</t>
  </si>
  <si>
    <t>Cumul nb vendu datant pér</t>
  </si>
  <si>
    <t>Cumul nb vendu pér en cours</t>
  </si>
  <si>
    <t>Valeur nette compt stations cédées pér en cours</t>
  </si>
  <si>
    <t>Valeur nette compt/u début pér</t>
  </si>
  <si>
    <t>Amortissement des stations restantes-bilan fin pér</t>
  </si>
  <si>
    <t xml:space="preserve">Nb de stations </t>
  </si>
  <si>
    <t>Budget externe (publicité)</t>
  </si>
  <si>
    <t>très court</t>
  </si>
  <si>
    <t>court</t>
  </si>
  <si>
    <t>discount</t>
  </si>
  <si>
    <t>standard</t>
  </si>
  <si>
    <t>amélioré</t>
  </si>
  <si>
    <t>luxe</t>
  </si>
  <si>
    <t>sensibilisation des clients</t>
  </si>
  <si>
    <t>sensibilisation client</t>
  </si>
  <si>
    <t>DONT LIASSE FISCALE et….</t>
  </si>
  <si>
    <t>Assembage Pc</t>
  </si>
  <si>
    <t>CA prévi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</si>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</sst>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_€"/>
    <numFmt numFmtId="165" formatCode="#,##0\ &quot;€&quot;"/>
    <numFmt numFmtId="166" formatCode="0&quot; ans&quot;"/>
    <numFmt numFmtId="167" formatCode="0&quot; H&quot;"/>
    <numFmt numFmtId="168" formatCode="0&quot; p&quot;"/>
    <numFmt numFmtId="169" formatCode="0.0%"/>
    <numFmt numFmtId="170" formatCode="0.0&quot; H&quot;"/>
    <numFmt numFmtId="171" formatCode="#,##0.0"/>
    <numFmt numFmtId="172" formatCode="&quot;(&quot;0&quot; ans)&quot;"/>
    <numFmt numFmtId="173" formatCode="_-* #,##0\ [$€-40C]_-;\-* #,##0\ [$€-40C]_-;_-* &quot;-&quot;??\ [$€-40C]_-;_-@_-"/>
  </numFmts>
  <fonts count="46">
    <font>
      <sz val="10"/>
      <name val="Arial"/>
    </font>
    <font>
      <sz val="10"/>
      <name val="Franklin Gothic Book"/>
      <family val="2"/>
    </font>
    <font>
      <b/>
      <sz val="10"/>
      <color indexed="9"/>
      <name val="Franklin Gothic Book"/>
      <family val="2"/>
    </font>
    <font>
      <sz val="10"/>
      <color indexed="9"/>
      <name val="Franklin Gothic Book"/>
      <family val="2"/>
    </font>
    <font>
      <b/>
      <sz val="10"/>
      <name val="Franklin Gothic Book"/>
      <family val="2"/>
    </font>
    <font>
      <b/>
      <i/>
      <sz val="10"/>
      <name val="Franklin Gothic Book"/>
      <family val="2"/>
    </font>
    <font>
      <b/>
      <sz val="10"/>
      <color indexed="53"/>
      <name val="Franklin Gothic Book"/>
      <family val="2"/>
    </font>
    <font>
      <sz val="10"/>
      <color indexed="9"/>
      <name val="Franklin Gothic Demi"/>
      <family val="2"/>
    </font>
    <font>
      <sz val="10"/>
      <name val="Franklin Gothic Demi"/>
      <family val="2"/>
    </font>
    <font>
      <sz val="10"/>
      <color indexed="53"/>
      <name val="Franklin Gothic Demi"/>
      <family val="2"/>
    </font>
    <font>
      <sz val="10"/>
      <color indexed="10"/>
      <name val="Franklin Gothic Book"/>
      <family val="2"/>
    </font>
    <font>
      <i/>
      <sz val="10"/>
      <name val="Franklin Gothic Demi"/>
      <family val="2"/>
    </font>
    <font>
      <b/>
      <sz val="14"/>
      <color rgb="FFFF0000"/>
      <name val="Arial"/>
      <family val="2"/>
    </font>
    <font>
      <sz val="18"/>
      <name val="Franklin Gothic Demi"/>
      <family val="2"/>
    </font>
    <font>
      <sz val="12"/>
      <name val="Franklin Gothic Demi"/>
      <family val="2"/>
    </font>
    <font>
      <u/>
      <sz val="12"/>
      <name val="Franklin Gothic Demi"/>
      <family val="2"/>
    </font>
    <font>
      <sz val="9"/>
      <name val="Franklin Gothic Demi"/>
      <family val="2"/>
    </font>
    <font>
      <sz val="9"/>
      <name val="Franklin Gothic Book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color rgb="FFFF0000"/>
      <name val="Franklin Gothic Book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2"/>
      <name val="Franklin Gothic Book"/>
      <family val="2"/>
    </font>
    <font>
      <sz val="12"/>
      <color rgb="FF00B050"/>
      <name val="Franklin Gothic Demi"/>
      <family val="2"/>
    </font>
    <font>
      <b/>
      <sz val="10"/>
      <color rgb="FFFF0000"/>
      <name val="Arial"/>
      <family val="2"/>
    </font>
    <font>
      <sz val="12"/>
      <color rgb="FFFF0000"/>
      <name val="Franklin Gothic Demi"/>
      <family val="2"/>
    </font>
    <font>
      <sz val="10"/>
      <color theme="5" tint="-0.499984740745262"/>
      <name val="Arial"/>
      <family val="2"/>
    </font>
    <font>
      <sz val="10"/>
      <color theme="9" tint="-0.249977111117893"/>
      <name val="Arial"/>
      <family val="2"/>
    </font>
    <font>
      <b/>
      <sz val="10"/>
      <color theme="5" tint="-0.499984740745262"/>
      <name val="Arial"/>
      <family val="2"/>
    </font>
    <font>
      <sz val="10"/>
      <color rgb="FF000000"/>
      <name val="Tahoma"/>
      <family val="2"/>
    </font>
    <font>
      <sz val="13"/>
      <color rgb="FF000000"/>
      <name val="Lucida Grande"/>
      <family val="2"/>
    </font>
    <font>
      <sz val="11"/>
      <color rgb="FF000000"/>
      <name val="Lucida Grande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theme="0" tint="-0.14999847407452621"/>
      <name val="Franklin Gothic Demi"/>
      <family val="2"/>
    </font>
    <font>
      <sz val="8"/>
      <color theme="0" tint="-0.1499984740745262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/>
      <right style="thin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medium">
        <color auto="1"/>
      </right>
      <top style="double">
        <color rgb="FFFF0000"/>
      </top>
      <bottom style="double">
        <color rgb="FFFF0000"/>
      </bottom>
      <diagonal/>
    </border>
    <border>
      <left/>
      <right style="thin">
        <color auto="1"/>
      </right>
      <top style="double">
        <color rgb="FFFF0000"/>
      </top>
      <bottom style="double">
        <color rgb="FFFF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 applyAlignment="1">
      <alignment horizontal="center" vertical="center"/>
    </xf>
    <xf numFmtId="164" fontId="3" fillId="0" borderId="2" xfId="0" applyNumberFormat="1" applyFont="1" applyFill="1" applyBorder="1" applyAlignment="1">
      <alignment horizontal="right" vertical="center"/>
    </xf>
    <xf numFmtId="164" fontId="3" fillId="0" borderId="3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7" fillId="3" borderId="13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27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70" fontId="0" fillId="0" borderId="0" xfId="1" applyNumberFormat="1" applyFont="1"/>
    <xf numFmtId="0" fontId="1" fillId="4" borderId="6" xfId="0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0" fillId="0" borderId="30" xfId="0" applyBorder="1"/>
    <xf numFmtId="0" fontId="22" fillId="0" borderId="0" xfId="0" applyFont="1" applyFill="1" applyBorder="1"/>
    <xf numFmtId="3" fontId="1" fillId="4" borderId="6" xfId="0" applyNumberFormat="1" applyFont="1" applyFill="1" applyBorder="1" applyAlignment="1">
      <alignment vertical="center"/>
    </xf>
    <xf numFmtId="4" fontId="1" fillId="4" borderId="6" xfId="0" applyNumberFormat="1" applyFont="1" applyFill="1" applyBorder="1" applyAlignment="1">
      <alignment vertical="center"/>
    </xf>
    <xf numFmtId="0" fontId="20" fillId="0" borderId="0" xfId="0" applyFont="1" applyAlignment="1">
      <alignment wrapText="1"/>
    </xf>
    <xf numFmtId="165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center" vertical="center" wrapText="1"/>
    </xf>
    <xf numFmtId="0" fontId="23" fillId="0" borderId="0" xfId="0" applyFont="1"/>
    <xf numFmtId="0" fontId="0" fillId="0" borderId="0" xfId="0" applyAlignment="1"/>
    <xf numFmtId="0" fontId="18" fillId="6" borderId="0" xfId="0" applyFont="1" applyFill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171" fontId="0" fillId="0" borderId="0" xfId="3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172" fontId="0" fillId="0" borderId="0" xfId="0" applyNumberFormat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164" fontId="4" fillId="0" borderId="1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28" xfId="0" applyBorder="1"/>
    <xf numFmtId="0" fontId="16" fillId="0" borderId="32" xfId="0" applyFont="1" applyBorder="1" applyAlignment="1">
      <alignment horizontal="center" vertical="center" wrapText="1"/>
    </xf>
    <xf numFmtId="0" fontId="24" fillId="0" borderId="6" xfId="0" applyFont="1" applyBorder="1"/>
    <xf numFmtId="0" fontId="0" fillId="0" borderId="6" xfId="0" applyBorder="1"/>
    <xf numFmtId="3" fontId="0" fillId="0" borderId="0" xfId="0" applyNumberFormat="1"/>
    <xf numFmtId="0" fontId="4" fillId="0" borderId="22" xfId="0" applyFont="1" applyFill="1" applyBorder="1" applyAlignment="1">
      <alignment horizontal="right" vertical="center"/>
    </xf>
    <xf numFmtId="3" fontId="1" fillId="0" borderId="17" xfId="0" applyNumberFormat="1" applyFont="1" applyFill="1" applyBorder="1" applyAlignment="1">
      <alignment horizontal="right" vertical="center"/>
    </xf>
    <xf numFmtId="165" fontId="0" fillId="0" borderId="0" xfId="1" applyNumberFormat="1" applyFont="1" applyFill="1"/>
    <xf numFmtId="0" fontId="0" fillId="0" borderId="0" xfId="1" applyNumberFormat="1" applyFont="1"/>
    <xf numFmtId="169" fontId="0" fillId="7" borderId="0" xfId="2" applyNumberFormat="1" applyFont="1" applyFill="1"/>
    <xf numFmtId="0" fontId="22" fillId="7" borderId="0" xfId="0" applyFont="1" applyFill="1"/>
    <xf numFmtId="3" fontId="1" fillId="0" borderId="5" xfId="0" applyNumberFormat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4" fillId="0" borderId="10" xfId="0" applyNumberFormat="1" applyFont="1" applyFill="1" applyBorder="1" applyAlignment="1">
      <alignment vertical="center"/>
    </xf>
    <xf numFmtId="0" fontId="13" fillId="0" borderId="25" xfId="0" applyFont="1" applyBorder="1" applyAlignment="1">
      <alignment horizontal="left" vertical="center"/>
    </xf>
    <xf numFmtId="8" fontId="0" fillId="0" borderId="0" xfId="0" applyNumberFormat="1"/>
    <xf numFmtId="0" fontId="0" fillId="10" borderId="0" xfId="0" applyFill="1"/>
    <xf numFmtId="9" fontId="0" fillId="10" borderId="0" xfId="2" applyFont="1" applyFill="1"/>
    <xf numFmtId="166" fontId="0" fillId="10" borderId="0" xfId="1" applyNumberFormat="1" applyFont="1" applyFill="1"/>
    <xf numFmtId="0" fontId="28" fillId="0" borderId="6" xfId="0" quotePrefix="1" applyFont="1" applyBorder="1" applyAlignment="1">
      <alignment horizontal="center"/>
    </xf>
    <xf numFmtId="3" fontId="28" fillId="0" borderId="6" xfId="0" applyNumberFormat="1" applyFont="1" applyBorder="1"/>
    <xf numFmtId="0" fontId="28" fillId="0" borderId="6" xfId="0" applyFont="1" applyBorder="1" applyAlignment="1">
      <alignment horizontal="center"/>
    </xf>
    <xf numFmtId="0" fontId="22" fillId="8" borderId="0" xfId="0" applyFont="1" applyFill="1"/>
    <xf numFmtId="3" fontId="1" fillId="9" borderId="6" xfId="0" applyNumberFormat="1" applyFont="1" applyFill="1" applyBorder="1" applyAlignment="1">
      <alignment vertical="center"/>
    </xf>
    <xf numFmtId="3" fontId="1" fillId="0" borderId="23" xfId="0" applyNumberFormat="1" applyFont="1" applyFill="1" applyBorder="1" applyAlignment="1">
      <alignment horizontal="right" vertical="center"/>
    </xf>
    <xf numFmtId="3" fontId="1" fillId="0" borderId="20" xfId="0" applyNumberFormat="1" applyFont="1" applyFill="1" applyBorder="1" applyAlignment="1">
      <alignment vertical="center"/>
    </xf>
    <xf numFmtId="3" fontId="1" fillId="0" borderId="21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3" fontId="1" fillId="0" borderId="7" xfId="0" applyNumberFormat="1" applyFont="1" applyFill="1" applyBorder="1" applyAlignment="1">
      <alignment vertical="center"/>
    </xf>
    <xf numFmtId="3" fontId="1" fillId="0" borderId="12" xfId="0" applyNumberFormat="1" applyFont="1" applyFill="1" applyBorder="1" applyAlignment="1">
      <alignment vertical="center"/>
    </xf>
    <xf numFmtId="3" fontId="4" fillId="0" borderId="16" xfId="0" applyNumberFormat="1" applyFont="1" applyFill="1" applyBorder="1" applyAlignment="1">
      <alignment horizontal="right" vertical="center"/>
    </xf>
    <xf numFmtId="3" fontId="1" fillId="0" borderId="5" xfId="0" applyNumberFormat="1" applyFont="1" applyFill="1" applyBorder="1" applyAlignment="1">
      <alignment horizontal="right" vertical="center"/>
    </xf>
    <xf numFmtId="3" fontId="4" fillId="0" borderId="10" xfId="0" quotePrefix="1" applyNumberFormat="1" applyFont="1" applyFill="1" applyBorder="1" applyAlignment="1">
      <alignment horizontal="right" vertical="center"/>
    </xf>
    <xf numFmtId="3" fontId="1" fillId="0" borderId="19" xfId="0" applyNumberFormat="1" applyFont="1" applyFill="1" applyBorder="1" applyAlignment="1">
      <alignment horizontal="right" vertical="center" wrapText="1"/>
    </xf>
    <xf numFmtId="3" fontId="1" fillId="0" borderId="22" xfId="0" applyNumberFormat="1" applyFont="1" applyFill="1" applyBorder="1" applyAlignment="1">
      <alignment horizontal="right" vertical="center"/>
    </xf>
    <xf numFmtId="3" fontId="1" fillId="8" borderId="17" xfId="0" applyNumberFormat="1" applyFont="1" applyFill="1" applyBorder="1" applyAlignment="1">
      <alignment horizontal="right" vertical="center"/>
    </xf>
    <xf numFmtId="3" fontId="1" fillId="0" borderId="16" xfId="0" applyNumberFormat="1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4" fillId="16" borderId="33" xfId="0" applyFont="1" applyFill="1" applyBorder="1" applyAlignment="1">
      <alignment horizontal="center" vertical="center"/>
    </xf>
    <xf numFmtId="0" fontId="15" fillId="0" borderId="0" xfId="0" applyFont="1"/>
    <xf numFmtId="0" fontId="1" fillId="0" borderId="0" xfId="0" applyFont="1"/>
    <xf numFmtId="0" fontId="16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3" fontId="24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169" fontId="31" fillId="0" borderId="0" xfId="2" applyNumberFormat="1" applyFont="1"/>
    <xf numFmtId="2" fontId="0" fillId="0" borderId="0" xfId="1" applyNumberFormat="1" applyFont="1"/>
    <xf numFmtId="3" fontId="0" fillId="0" borderId="0" xfId="1" applyNumberFormat="1" applyFont="1"/>
    <xf numFmtId="0" fontId="29" fillId="0" borderId="0" xfId="0" applyFont="1" applyAlignment="1">
      <alignment horizontal="center"/>
    </xf>
    <xf numFmtId="169" fontId="30" fillId="0" borderId="0" xfId="0" applyNumberFormat="1" applyFont="1"/>
    <xf numFmtId="169" fontId="29" fillId="0" borderId="0" xfId="2" applyNumberFormat="1" applyFont="1"/>
    <xf numFmtId="1" fontId="31" fillId="0" borderId="0" xfId="0" applyNumberFormat="1" applyFont="1"/>
    <xf numFmtId="2" fontId="0" fillId="0" borderId="0" xfId="0" applyNumberFormat="1"/>
    <xf numFmtId="0" fontId="31" fillId="0" borderId="0" xfId="0" applyFont="1" applyAlignment="1">
      <alignment horizontal="center"/>
    </xf>
    <xf numFmtId="169" fontId="29" fillId="0" borderId="0" xfId="0" applyNumberFormat="1" applyFont="1"/>
    <xf numFmtId="0" fontId="1" fillId="0" borderId="0" xfId="0" applyFont="1" applyFill="1"/>
    <xf numFmtId="9" fontId="0" fillId="0" borderId="0" xfId="2" applyFont="1"/>
    <xf numFmtId="0" fontId="14" fillId="0" borderId="0" xfId="0" applyFont="1"/>
    <xf numFmtId="9" fontId="0" fillId="0" borderId="0" xfId="0" applyNumberFormat="1"/>
    <xf numFmtId="0" fontId="0" fillId="0" borderId="0" xfId="0" applyFill="1"/>
    <xf numFmtId="0" fontId="25" fillId="0" borderId="0" xfId="0" applyFont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vertical="center"/>
    </xf>
    <xf numFmtId="3" fontId="1" fillId="0" borderId="35" xfId="0" applyNumberFormat="1" applyFont="1" applyFill="1" applyBorder="1" applyAlignment="1">
      <alignment vertical="center"/>
    </xf>
    <xf numFmtId="3" fontId="4" fillId="0" borderId="36" xfId="0" applyNumberFormat="1" applyFont="1" applyFill="1" applyBorder="1" applyAlignment="1">
      <alignment vertical="center"/>
    </xf>
    <xf numFmtId="0" fontId="1" fillId="0" borderId="35" xfId="0" applyFont="1" applyFill="1" applyBorder="1" applyAlignment="1">
      <alignment vertical="center"/>
    </xf>
    <xf numFmtId="3" fontId="4" fillId="0" borderId="35" xfId="0" applyNumberFormat="1" applyFont="1" applyFill="1" applyBorder="1" applyAlignment="1">
      <alignment vertical="center"/>
    </xf>
    <xf numFmtId="164" fontId="4" fillId="0" borderId="37" xfId="0" applyNumberFormat="1" applyFont="1" applyFill="1" applyBorder="1" applyAlignment="1">
      <alignment horizontal="right" vertical="center"/>
    </xf>
    <xf numFmtId="164" fontId="3" fillId="0" borderId="20" xfId="0" applyNumberFormat="1" applyFont="1" applyFill="1" applyBorder="1" applyAlignment="1">
      <alignment horizontal="right" vertical="center"/>
    </xf>
    <xf numFmtId="164" fontId="3" fillId="0" borderId="21" xfId="0" applyNumberFormat="1" applyFont="1" applyFill="1" applyBorder="1" applyAlignment="1">
      <alignment horizontal="right" vertical="center"/>
    </xf>
    <xf numFmtId="0" fontId="11" fillId="0" borderId="38" xfId="0" applyFont="1" applyFill="1" applyBorder="1" applyAlignment="1">
      <alignment horizontal="right" vertical="center"/>
    </xf>
    <xf numFmtId="3" fontId="1" fillId="0" borderId="39" xfId="0" applyNumberFormat="1" applyFont="1" applyFill="1" applyBorder="1" applyAlignment="1">
      <alignment horizontal="right" vertical="center"/>
    </xf>
    <xf numFmtId="3" fontId="5" fillId="0" borderId="40" xfId="0" applyNumberFormat="1" applyFont="1" applyFill="1" applyBorder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horizontal="right" vertical="center" wrapText="1"/>
    </xf>
    <xf numFmtId="0" fontId="1" fillId="0" borderId="18" xfId="0" applyFont="1" applyBorder="1" applyAlignment="1">
      <alignment horizontal="left" vertical="center"/>
    </xf>
    <xf numFmtId="0" fontId="7" fillId="2" borderId="43" xfId="0" applyFont="1" applyFill="1" applyBorder="1" applyAlignment="1">
      <alignment horizontal="center" vertical="center"/>
    </xf>
    <xf numFmtId="3" fontId="5" fillId="0" borderId="44" xfId="0" applyNumberFormat="1" applyFont="1" applyFill="1" applyBorder="1" applyAlignment="1">
      <alignment horizontal="right" vertical="center" wrapText="1"/>
    </xf>
    <xf numFmtId="0" fontId="8" fillId="0" borderId="38" xfId="0" applyFont="1" applyFill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45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46" xfId="0" applyFont="1" applyFill="1" applyBorder="1" applyAlignment="1">
      <alignment vertical="center"/>
    </xf>
    <xf numFmtId="0" fontId="4" fillId="0" borderId="45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5" fillId="0" borderId="45" xfId="0" applyFont="1" applyFill="1" applyBorder="1" applyAlignment="1">
      <alignment vertical="center"/>
    </xf>
    <xf numFmtId="164" fontId="3" fillId="0" borderId="45" xfId="0" applyNumberFormat="1" applyFont="1" applyFill="1" applyBorder="1" applyAlignment="1">
      <alignment horizontal="right" vertical="center"/>
    </xf>
    <xf numFmtId="0" fontId="3" fillId="0" borderId="45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33" fillId="0" borderId="0" xfId="0" applyFont="1"/>
    <xf numFmtId="165" fontId="0" fillId="7" borderId="0" xfId="1" applyNumberFormat="1" applyFont="1" applyFill="1"/>
    <xf numFmtId="0" fontId="34" fillId="0" borderId="0" xfId="0" applyFont="1" applyFill="1" applyBorder="1"/>
    <xf numFmtId="3" fontId="1" fillId="8" borderId="0" xfId="0" applyNumberFormat="1" applyFont="1" applyFill="1" applyBorder="1" applyAlignment="1">
      <alignment vertical="center"/>
    </xf>
    <xf numFmtId="0" fontId="22" fillId="0" borderId="0" xfId="0" applyFont="1" applyAlignment="1">
      <alignment wrapText="1"/>
    </xf>
    <xf numFmtId="0" fontId="35" fillId="0" borderId="0" xfId="0" applyFont="1" applyBorder="1" applyAlignment="1">
      <alignment vertical="center"/>
    </xf>
    <xf numFmtId="0" fontId="19" fillId="0" borderId="0" xfId="0" applyFont="1"/>
    <xf numFmtId="0" fontId="0" fillId="0" borderId="0" xfId="0" applyAlignment="1">
      <alignment horizontal="left" indent="1"/>
    </xf>
    <xf numFmtId="0" fontId="22" fillId="0" borderId="0" xfId="0" applyFont="1" applyAlignment="1">
      <alignment horizontal="left" indent="1"/>
    </xf>
    <xf numFmtId="0" fontId="19" fillId="4" borderId="0" xfId="0" applyFont="1" applyFill="1"/>
    <xf numFmtId="0" fontId="0" fillId="4" borderId="0" xfId="0" applyFill="1"/>
    <xf numFmtId="165" fontId="0" fillId="4" borderId="0" xfId="1" applyNumberFormat="1" applyFont="1" applyFill="1"/>
    <xf numFmtId="0" fontId="19" fillId="0" borderId="0" xfId="0" applyFont="1" applyAlignment="1">
      <alignment horizontal="left" indent="1"/>
    </xf>
    <xf numFmtId="0" fontId="16" fillId="0" borderId="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9" fontId="0" fillId="7" borderId="0" xfId="2" applyFont="1" applyFill="1"/>
    <xf numFmtId="9" fontId="19" fillId="4" borderId="0" xfId="2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6" fillId="17" borderId="0" xfId="0" applyFont="1" applyFill="1" applyAlignment="1">
      <alignment horizontal="center"/>
    </xf>
    <xf numFmtId="0" fontId="0" fillId="17" borderId="0" xfId="0" applyFill="1"/>
    <xf numFmtId="9" fontId="0" fillId="17" borderId="0" xfId="2" applyFont="1" applyFill="1"/>
    <xf numFmtId="0" fontId="38" fillId="0" borderId="0" xfId="0" applyFont="1"/>
    <xf numFmtId="10" fontId="0" fillId="18" borderId="0" xfId="2" applyNumberFormat="1" applyFont="1" applyFill="1"/>
    <xf numFmtId="169" fontId="22" fillId="18" borderId="0" xfId="2" applyNumberFormat="1" applyFont="1" applyFill="1"/>
    <xf numFmtId="0" fontId="19" fillId="0" borderId="0" xfId="0" applyFont="1" applyFill="1"/>
    <xf numFmtId="173" fontId="44" fillId="0" borderId="47" xfId="0" applyNumberFormat="1" applyFont="1" applyFill="1" applyBorder="1" applyAlignment="1">
      <alignment horizontal="center" vertical="center" wrapText="1"/>
    </xf>
    <xf numFmtId="173" fontId="45" fillId="0" borderId="0" xfId="0" applyNumberFormat="1" applyFont="1"/>
    <xf numFmtId="0" fontId="25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67733</xdr:rowOff>
    </xdr:from>
    <xdr:to>
      <xdr:col>0</xdr:col>
      <xdr:colOff>1885950</xdr:colOff>
      <xdr:row>1</xdr:row>
      <xdr:rowOff>112183</xdr:rowOff>
    </xdr:to>
    <xdr:pic>
      <xdr:nvPicPr>
        <xdr:cNvPr id="4" name="Image 3" descr="Logo_TerStrat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" y="67733"/>
          <a:ext cx="1524000" cy="383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49"/>
  <sheetViews>
    <sheetView tabSelected="1" workbookViewId="0">
      <selection activeCell="H10" sqref="H10"/>
    </sheetView>
  </sheetViews>
  <sheetFormatPr baseColWidth="10" defaultRowHeight="12.75"/>
  <cols>
    <col min="1" max="1" width="33.28515625" customWidth="1"/>
    <col min="5" max="5" width="15.85546875" customWidth="1"/>
    <col min="6" max="6" width="20.85546875" customWidth="1"/>
    <col min="8" max="8" width="18.28515625" customWidth="1"/>
    <col min="16" max="16" width="7.7109375" customWidth="1"/>
    <col min="17" max="17" width="35.28515625" customWidth="1"/>
  </cols>
  <sheetData>
    <row r="1" spans="1:10" ht="26.25" customHeight="1">
      <c r="A1" s="52"/>
      <c r="B1" s="39"/>
      <c r="C1" s="39"/>
      <c r="D1" s="38" t="s">
        <v>49</v>
      </c>
      <c r="E1" s="39"/>
      <c r="F1" s="39"/>
      <c r="G1" s="39"/>
      <c r="H1" s="39"/>
      <c r="I1" s="39"/>
      <c r="J1" s="40"/>
    </row>
    <row r="2" spans="1:10" ht="17.25" thickBot="1">
      <c r="A2" s="29"/>
      <c r="B2" s="30" t="s">
        <v>133</v>
      </c>
      <c r="C2" s="114">
        <v>2</v>
      </c>
      <c r="D2" s="30" t="s">
        <v>50</v>
      </c>
      <c r="E2" s="31"/>
      <c r="F2" s="114">
        <v>5</v>
      </c>
      <c r="G2" s="76"/>
      <c r="H2" s="30" t="s">
        <v>51</v>
      </c>
      <c r="I2" s="113">
        <v>5</v>
      </c>
      <c r="J2" s="32"/>
    </row>
    <row r="3" spans="1:10">
      <c r="G3" s="61"/>
    </row>
    <row r="4" spans="1:10" ht="16.5">
      <c r="A4" s="34" t="s">
        <v>52</v>
      </c>
    </row>
    <row r="5" spans="1:10" ht="25.5">
      <c r="B5" s="50" t="s">
        <v>53</v>
      </c>
      <c r="C5" s="50" t="s">
        <v>195</v>
      </c>
      <c r="D5" s="50" t="s">
        <v>111</v>
      </c>
      <c r="E5" s="50" t="s">
        <v>102</v>
      </c>
      <c r="F5" s="50" t="s">
        <v>112</v>
      </c>
      <c r="G5" s="208" t="s">
        <v>238</v>
      </c>
      <c r="H5" s="209"/>
    </row>
    <row r="6" spans="1:10" ht="18" customHeight="1">
      <c r="A6" t="s">
        <v>101</v>
      </c>
      <c r="B6" s="55">
        <v>145</v>
      </c>
      <c r="C6" s="55">
        <v>7000</v>
      </c>
      <c r="D6" s="51" t="s">
        <v>232</v>
      </c>
      <c r="E6" s="49" t="s">
        <v>99</v>
      </c>
      <c r="F6" s="49">
        <v>1200</v>
      </c>
      <c r="G6" s="209">
        <f>+F6*B6</f>
        <v>174000</v>
      </c>
      <c r="H6" s="209"/>
    </row>
    <row r="7" spans="1:10" ht="18" customHeight="1">
      <c r="A7" t="s">
        <v>107</v>
      </c>
      <c r="B7" s="55">
        <v>1150</v>
      </c>
      <c r="C7" s="55">
        <v>7000</v>
      </c>
      <c r="D7" s="51" t="s">
        <v>233</v>
      </c>
      <c r="E7" s="49" t="s">
        <v>100</v>
      </c>
      <c r="F7" s="49">
        <v>220</v>
      </c>
      <c r="G7" s="209">
        <f t="shared" ref="G7:G11" si="0">+F7*B7</f>
        <v>253000</v>
      </c>
      <c r="H7" s="209"/>
    </row>
    <row r="8" spans="1:10" ht="18" customHeight="1">
      <c r="A8" t="s">
        <v>106</v>
      </c>
      <c r="B8" s="55">
        <v>400</v>
      </c>
      <c r="C8" s="55">
        <v>5000</v>
      </c>
      <c r="D8" s="51"/>
      <c r="E8" s="49" t="s">
        <v>99</v>
      </c>
      <c r="F8" s="49">
        <v>220</v>
      </c>
      <c r="G8" s="209">
        <f t="shared" si="0"/>
        <v>88000</v>
      </c>
      <c r="H8" s="209">
        <f>SUM(G6:G11)</f>
        <v>1384500</v>
      </c>
    </row>
    <row r="9" spans="1:10" ht="18" customHeight="1">
      <c r="A9" t="s">
        <v>105</v>
      </c>
      <c r="B9" s="55">
        <v>4000</v>
      </c>
      <c r="C9" s="55">
        <v>7000</v>
      </c>
      <c r="D9" s="51" t="s">
        <v>233</v>
      </c>
      <c r="E9" s="49" t="s">
        <v>100</v>
      </c>
      <c r="F9" s="49">
        <v>200</v>
      </c>
      <c r="G9" s="209">
        <f t="shared" si="0"/>
        <v>800000</v>
      </c>
      <c r="H9" s="209"/>
    </row>
    <row r="10" spans="1:10" ht="18" customHeight="1">
      <c r="A10" t="s">
        <v>104</v>
      </c>
      <c r="B10" s="55">
        <v>3500</v>
      </c>
      <c r="C10" s="55">
        <v>7000</v>
      </c>
      <c r="D10" s="51" t="s">
        <v>233</v>
      </c>
      <c r="E10" s="49" t="s">
        <v>100</v>
      </c>
      <c r="F10" s="49">
        <v>13</v>
      </c>
      <c r="G10" s="209">
        <f t="shared" si="0"/>
        <v>45500</v>
      </c>
      <c r="H10" s="209"/>
    </row>
    <row r="11" spans="1:10" ht="18" customHeight="1">
      <c r="A11" t="s">
        <v>103</v>
      </c>
      <c r="B11" s="55">
        <v>12000</v>
      </c>
      <c r="C11" s="55">
        <v>5000</v>
      </c>
      <c r="D11" s="51" t="s">
        <v>233</v>
      </c>
      <c r="E11" s="49" t="s">
        <v>100</v>
      </c>
      <c r="F11" s="49">
        <v>2</v>
      </c>
      <c r="G11" s="209">
        <f t="shared" si="0"/>
        <v>24000</v>
      </c>
      <c r="H11" s="209"/>
    </row>
    <row r="13" spans="1:10" ht="16.5">
      <c r="A13" s="34" t="s">
        <v>54</v>
      </c>
      <c r="B13" s="14"/>
      <c r="C13" s="14"/>
      <c r="D13" s="14"/>
      <c r="E13" s="14"/>
      <c r="F13" s="14"/>
      <c r="G13" s="14"/>
      <c r="H13" s="14"/>
      <c r="I13" s="14"/>
    </row>
    <row r="14" spans="1:10" ht="13.5" customHeight="1">
      <c r="A14" s="33"/>
      <c r="B14" s="35"/>
      <c r="C14" s="36" t="s">
        <v>55</v>
      </c>
      <c r="D14" s="33"/>
      <c r="E14" s="35"/>
      <c r="F14" s="36" t="s">
        <v>56</v>
      </c>
      <c r="G14" s="33"/>
      <c r="H14" s="35"/>
      <c r="I14" s="36" t="s">
        <v>57</v>
      </c>
    </row>
    <row r="15" spans="1:10" ht="18" customHeight="1">
      <c r="A15" t="s">
        <v>58</v>
      </c>
      <c r="B15" s="14"/>
      <c r="C15" s="49">
        <v>-6</v>
      </c>
      <c r="D15" s="4"/>
      <c r="E15" s="14"/>
      <c r="F15" s="51">
        <v>120</v>
      </c>
      <c r="G15" s="37"/>
      <c r="H15" s="14"/>
      <c r="I15" s="54">
        <v>71400</v>
      </c>
      <c r="J15" s="37" t="s">
        <v>59</v>
      </c>
    </row>
    <row r="16" spans="1:10" ht="18" customHeight="1">
      <c r="A16" s="43" t="s">
        <v>142</v>
      </c>
      <c r="B16" s="14"/>
      <c r="C16" s="49">
        <v>-3</v>
      </c>
      <c r="D16" s="4"/>
      <c r="E16" s="14"/>
      <c r="F16" s="51">
        <v>120</v>
      </c>
      <c r="G16" s="37"/>
      <c r="H16" s="14"/>
      <c r="I16" s="54">
        <v>12750</v>
      </c>
      <c r="J16" s="37" t="s">
        <v>59</v>
      </c>
    </row>
    <row r="18" spans="1:15" ht="16.5">
      <c r="A18" s="34" t="s">
        <v>38</v>
      </c>
      <c r="B18" s="14"/>
      <c r="C18" s="14"/>
      <c r="D18" s="14"/>
      <c r="E18" s="14"/>
      <c r="F18" s="34" t="s">
        <v>61</v>
      </c>
    </row>
    <row r="19" spans="1:15" ht="18" customHeight="1">
      <c r="A19" t="s">
        <v>62</v>
      </c>
      <c r="B19" s="14"/>
      <c r="C19" s="54">
        <v>10000</v>
      </c>
      <c r="D19" s="37" t="s">
        <v>63</v>
      </c>
      <c r="E19" s="14"/>
      <c r="F19" t="s">
        <v>71</v>
      </c>
      <c r="G19" s="51" t="s">
        <v>239</v>
      </c>
      <c r="H19" t="s">
        <v>74</v>
      </c>
      <c r="I19" s="51" t="s">
        <v>239</v>
      </c>
    </row>
    <row r="20" spans="1:15" ht="18" customHeight="1">
      <c r="A20" s="187" t="s">
        <v>227</v>
      </c>
      <c r="B20" s="14"/>
      <c r="C20" s="54">
        <v>20000</v>
      </c>
      <c r="D20" s="37" t="s">
        <v>63</v>
      </c>
      <c r="E20" s="14"/>
      <c r="F20" t="s">
        <v>72</v>
      </c>
      <c r="G20" s="51" t="s">
        <v>239</v>
      </c>
      <c r="H20" t="s">
        <v>70</v>
      </c>
      <c r="I20" s="51" t="s">
        <v>239</v>
      </c>
    </row>
    <row r="21" spans="1:15" ht="18" customHeight="1">
      <c r="A21" s="14"/>
      <c r="B21" s="14"/>
      <c r="C21" s="14"/>
      <c r="D21" s="14"/>
      <c r="E21" s="14"/>
      <c r="F21" t="s">
        <v>73</v>
      </c>
      <c r="G21" s="51" t="s">
        <v>239</v>
      </c>
      <c r="H21" t="s">
        <v>75</v>
      </c>
      <c r="I21" s="51" t="s">
        <v>239</v>
      </c>
    </row>
    <row r="22" spans="1:15" ht="18" customHeight="1">
      <c r="A22" s="34" t="s">
        <v>64</v>
      </c>
      <c r="B22" s="14"/>
      <c r="C22" s="14"/>
      <c r="D22" s="14"/>
      <c r="E22" s="14"/>
      <c r="F22" t="s">
        <v>76</v>
      </c>
      <c r="G22" s="51" t="s">
        <v>239</v>
      </c>
      <c r="H22" s="187" t="s">
        <v>235</v>
      </c>
      <c r="I22" s="51" t="s">
        <v>239</v>
      </c>
    </row>
    <row r="23" spans="1:15" ht="18" customHeight="1">
      <c r="A23" t="s">
        <v>65</v>
      </c>
      <c r="B23" s="14"/>
      <c r="C23" s="49">
        <v>-1</v>
      </c>
      <c r="D23" s="4"/>
      <c r="F23" t="s">
        <v>108</v>
      </c>
      <c r="G23" s="51" t="s">
        <v>239</v>
      </c>
    </row>
    <row r="24" spans="1:15" ht="18" customHeight="1">
      <c r="A24" t="s">
        <v>66</v>
      </c>
      <c r="B24" s="4"/>
      <c r="C24" s="49"/>
      <c r="D24" s="4"/>
      <c r="F24" t="s">
        <v>109</v>
      </c>
      <c r="G24" s="51" t="s">
        <v>239</v>
      </c>
    </row>
    <row r="25" spans="1:15" ht="18" customHeight="1">
      <c r="B25" s="4"/>
      <c r="D25" s="4"/>
      <c r="F25" t="s">
        <v>110</v>
      </c>
      <c r="G25" s="51" t="s">
        <v>239</v>
      </c>
    </row>
    <row r="26" spans="1:15" ht="18" customHeight="1">
      <c r="A26" s="34" t="s">
        <v>67</v>
      </c>
    </row>
    <row r="27" spans="1:15" ht="18" customHeight="1">
      <c r="A27" t="s">
        <v>68</v>
      </c>
      <c r="B27" s="54">
        <v>300000</v>
      </c>
      <c r="C27" s="37" t="s">
        <v>63</v>
      </c>
    </row>
    <row r="28" spans="1:15" ht="18" customHeight="1">
      <c r="A28" t="s">
        <v>69</v>
      </c>
      <c r="B28" s="54"/>
      <c r="C28" s="37" t="s">
        <v>63</v>
      </c>
    </row>
    <row r="29" spans="1:15" ht="18" customHeight="1">
      <c r="A29" t="s">
        <v>147</v>
      </c>
      <c r="B29" s="54"/>
      <c r="C29" s="37" t="s">
        <v>63</v>
      </c>
    </row>
    <row r="30" spans="1:15" ht="14.25" customHeight="1"/>
    <row r="31" spans="1:15" ht="14.25" customHeight="1">
      <c r="A31" s="186" t="s">
        <v>191</v>
      </c>
      <c r="F31" s="186" t="s">
        <v>209</v>
      </c>
    </row>
    <row r="32" spans="1:15" ht="13.5">
      <c r="A32" s="43" t="s">
        <v>113</v>
      </c>
      <c r="B32" s="99">
        <v>16</v>
      </c>
      <c r="F32" s="195" t="s">
        <v>212</v>
      </c>
      <c r="G32">
        <v>1</v>
      </c>
      <c r="H32">
        <f t="shared" ref="H32:O32" si="1">IF(an&gt;COLUMN(H33)-6,COLUMN(H33)-6,"")</f>
        <v>2</v>
      </c>
      <c r="I32">
        <f t="shared" si="1"/>
        <v>3</v>
      </c>
      <c r="J32">
        <f t="shared" si="1"/>
        <v>4</v>
      </c>
      <c r="K32" t="str">
        <f t="shared" si="1"/>
        <v/>
      </c>
      <c r="L32" t="str">
        <f t="shared" si="1"/>
        <v/>
      </c>
      <c r="M32" t="str">
        <f t="shared" si="1"/>
        <v/>
      </c>
      <c r="N32" t="str">
        <f t="shared" si="1"/>
        <v/>
      </c>
      <c r="O32" t="str">
        <f t="shared" si="1"/>
        <v/>
      </c>
    </row>
    <row r="33" spans="1:15" ht="13.5">
      <c r="A33" s="53" t="s">
        <v>114</v>
      </c>
      <c r="B33" s="99">
        <v>6</v>
      </c>
      <c r="F33" s="187" t="s">
        <v>210</v>
      </c>
      <c r="G33" s="99">
        <v>1</v>
      </c>
      <c r="H33" s="99">
        <v>1</v>
      </c>
      <c r="I33" s="99">
        <v>1</v>
      </c>
      <c r="J33" s="99">
        <v>7</v>
      </c>
      <c r="K33" s="99"/>
      <c r="L33" s="99"/>
      <c r="M33" s="99"/>
      <c r="N33" s="99"/>
      <c r="O33" s="99"/>
    </row>
    <row r="34" spans="1:15" ht="13.5">
      <c r="A34" s="53"/>
      <c r="B34" s="184"/>
      <c r="D34" s="43"/>
      <c r="F34" s="187" t="s">
        <v>211</v>
      </c>
      <c r="G34" s="68"/>
      <c r="H34" s="99"/>
      <c r="I34" s="99"/>
      <c r="J34" s="99"/>
      <c r="K34" s="99"/>
      <c r="L34" s="99"/>
      <c r="M34" s="99"/>
      <c r="N34" s="99"/>
      <c r="O34" s="99"/>
    </row>
    <row r="35" spans="1:15" ht="13.5">
      <c r="A35" s="53"/>
      <c r="B35" s="184"/>
      <c r="D35" s="43"/>
      <c r="G35" s="68"/>
    </row>
    <row r="36" spans="1:15" ht="13.5">
      <c r="A36" s="53"/>
      <c r="B36" s="184"/>
      <c r="D36" s="43"/>
      <c r="G36" s="68"/>
    </row>
    <row r="37" spans="1:15">
      <c r="A37" s="183" t="s">
        <v>187</v>
      </c>
    </row>
    <row r="38" spans="1:15">
      <c r="A38" s="183" t="s">
        <v>181</v>
      </c>
      <c r="D38" s="183" t="s">
        <v>182</v>
      </c>
    </row>
    <row r="39" spans="1:15" ht="13.5">
      <c r="A39" s="43" t="s">
        <v>169</v>
      </c>
      <c r="B39" s="99">
        <v>240000</v>
      </c>
      <c r="C39" s="37" t="s">
        <v>63</v>
      </c>
      <c r="D39" t="s">
        <v>6</v>
      </c>
      <c r="F39" s="99">
        <v>20000</v>
      </c>
      <c r="G39" s="37" t="s">
        <v>63</v>
      </c>
    </row>
    <row r="40" spans="1:15" ht="13.5">
      <c r="A40" s="43" t="s">
        <v>32</v>
      </c>
      <c r="B40" s="99">
        <v>0</v>
      </c>
      <c r="C40" s="37" t="s">
        <v>63</v>
      </c>
      <c r="D40" t="s">
        <v>7</v>
      </c>
      <c r="F40" s="99">
        <v>78941</v>
      </c>
      <c r="G40" s="37" t="s">
        <v>63</v>
      </c>
    </row>
    <row r="41" spans="1:15" ht="13.5">
      <c r="A41" s="183"/>
      <c r="D41" t="s">
        <v>8</v>
      </c>
      <c r="F41" s="99">
        <v>-312294</v>
      </c>
      <c r="G41" s="37" t="s">
        <v>63</v>
      </c>
    </row>
    <row r="42" spans="1:15" ht="13.5">
      <c r="A42" s="183"/>
      <c r="D42" s="53" t="s">
        <v>189</v>
      </c>
      <c r="E42" s="53"/>
      <c r="F42" s="99">
        <v>0</v>
      </c>
      <c r="G42" s="37" t="s">
        <v>63</v>
      </c>
    </row>
    <row r="43" spans="1:15" ht="13.5">
      <c r="A43" s="183"/>
      <c r="D43" s="43" t="s">
        <v>188</v>
      </c>
      <c r="E43" s="43"/>
      <c r="F43" s="99">
        <v>0</v>
      </c>
      <c r="G43" s="37" t="s">
        <v>63</v>
      </c>
    </row>
    <row r="44" spans="1:15">
      <c r="A44" s="183"/>
    </row>
    <row r="45" spans="1:15">
      <c r="A45" s="183" t="s">
        <v>192</v>
      </c>
    </row>
    <row r="46" spans="1:15" ht="13.5">
      <c r="A46" s="185" t="s">
        <v>193</v>
      </c>
      <c r="B46" s="99"/>
      <c r="C46" s="37" t="s">
        <v>63</v>
      </c>
    </row>
    <row r="48" spans="1:15">
      <c r="A48" s="183" t="s">
        <v>190</v>
      </c>
    </row>
    <row r="49" spans="1:3" ht="13.5">
      <c r="A49" s="98" t="s">
        <v>145</v>
      </c>
      <c r="B49" s="99">
        <v>294953</v>
      </c>
      <c r="C49" s="37" t="s">
        <v>63</v>
      </c>
    </row>
  </sheetData>
  <dataValidations count="5">
    <dataValidation type="list" allowBlank="1" showInputMessage="1" showErrorMessage="1" errorTitle="Erreur saisie" error="Le niveau est 1, 2, 3 ou 4" sqref="D6:D11" xr:uid="{00000000-0002-0000-0000-000000000000}">
      <formula1>liste_niveau</formula1>
    </dataValidation>
    <dataValidation type="list" allowBlank="1" showInputMessage="1" showErrorMessage="1" errorTitle="Erreur de saisie" error="Valeur impossible" sqref="E6:E11" xr:uid="{00000000-0002-0000-0000-000001000000}">
      <formula1>liste_temps</formula1>
    </dataValidation>
    <dataValidation type="list" allowBlank="1" showInputMessage="1" showErrorMessage="1" errorTitle="Erreur" error="Cocher par x ou laisser vide" sqref="G19:G25 I19:I22" xr:uid="{00000000-0002-0000-0000-000002000000}">
      <formula1>"x"</formula1>
    </dataValidation>
    <dataValidation type="whole" allowBlank="1" showInputMessage="1" showErrorMessage="1" errorTitle="Erreur de saisie" error="Valeur impossible " sqref="F16" xr:uid="{00000000-0002-0000-0000-000003000000}">
      <formula1>Min_ind_Cons</formula1>
      <formula2>Max_ind_Cons</formula2>
    </dataValidation>
    <dataValidation type="whole" allowBlank="1" showInputMessage="1" showErrorMessage="1" errorTitle="Erreur de saisie" error="Valeur impossible " sqref="F15" xr:uid="{00000000-0002-0000-0000-000004000000}">
      <formula1>Min_ind_Tech</formula1>
      <formula2>Max_ind_Tech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AA47"/>
  <sheetViews>
    <sheetView workbookViewId="0">
      <selection activeCell="C25" sqref="C25"/>
    </sheetView>
  </sheetViews>
  <sheetFormatPr baseColWidth="10" defaultRowHeight="12.75"/>
  <cols>
    <col min="1" max="1" width="26.7109375" customWidth="1"/>
    <col min="3" max="3" width="12.85546875" bestFit="1" customWidth="1"/>
    <col min="4" max="4" width="40.42578125" customWidth="1"/>
    <col min="6" max="6" width="32.28515625" customWidth="1"/>
    <col min="9" max="9" width="35.28515625" customWidth="1"/>
    <col min="16" max="16" width="42.140625" bestFit="1" customWidth="1"/>
  </cols>
  <sheetData>
    <row r="1" spans="1:16" ht="18">
      <c r="B1" s="60" t="s">
        <v>120</v>
      </c>
      <c r="J1" s="86" t="s">
        <v>135</v>
      </c>
    </row>
    <row r="2" spans="1:16" ht="18">
      <c r="B2" s="60"/>
    </row>
    <row r="3" spans="1:16" ht="15.75">
      <c r="A3" s="62" t="str">
        <f>IF(an="","Remplir le n° de l'année","")</f>
        <v/>
      </c>
      <c r="J3" s="78">
        <v>1</v>
      </c>
      <c r="K3" s="78">
        <v>2</v>
      </c>
      <c r="L3" s="78">
        <v>3</v>
      </c>
      <c r="M3" s="78">
        <v>4</v>
      </c>
      <c r="N3" s="78">
        <v>5</v>
      </c>
      <c r="O3" s="78">
        <v>6</v>
      </c>
      <c r="P3" s="195" t="s">
        <v>16</v>
      </c>
    </row>
    <row r="4" spans="1:16">
      <c r="I4" s="77" t="s">
        <v>53</v>
      </c>
      <c r="J4" s="79">
        <f t="array" ref="J4:O4">TRANSPOSE(Décisions!B6:B11)</f>
        <v>145</v>
      </c>
      <c r="K4" s="79">
        <v>1150</v>
      </c>
      <c r="L4" s="79">
        <v>400</v>
      </c>
      <c r="M4" s="79">
        <v>4000</v>
      </c>
      <c r="N4" s="79">
        <v>3500</v>
      </c>
      <c r="O4" s="79">
        <v>12000</v>
      </c>
    </row>
    <row r="5" spans="1:16" ht="25.5">
      <c r="A5" s="43" t="s">
        <v>119</v>
      </c>
      <c r="I5" s="77" t="s">
        <v>111</v>
      </c>
      <c r="J5" s="79" t="str">
        <f t="array" ref="J5:O5">TRANSPOSE(Décisions!D6:D11)</f>
        <v>amélioré</v>
      </c>
      <c r="K5" s="79" t="str">
        <v>luxe</v>
      </c>
      <c r="L5" s="79">
        <v>0</v>
      </c>
      <c r="M5" s="79" t="str">
        <v>luxe</v>
      </c>
      <c r="N5" s="79" t="str">
        <v>luxe</v>
      </c>
      <c r="O5" s="79" t="str">
        <v>luxe</v>
      </c>
    </row>
    <row r="6" spans="1:16" ht="15.75">
      <c r="A6" t="s">
        <v>101</v>
      </c>
      <c r="B6">
        <f>ROW(A6)-5</f>
        <v>1</v>
      </c>
      <c r="C6">
        <f t="shared" ref="C6:C11" si="0">VLOOKUP(B6,an_debut,2)</f>
        <v>1</v>
      </c>
      <c r="D6" s="62" t="str">
        <f>IF(AND(C6&gt;an,Décisions!B6&gt;0),"Prestation inexistante à cette date","")</f>
        <v/>
      </c>
      <c r="I6" s="77" t="s">
        <v>102</v>
      </c>
      <c r="J6" s="79" t="str">
        <f t="array" ref="J6:O6">TRANSPOSE(Décisions!E6:E11)</f>
        <v>Long</v>
      </c>
      <c r="K6" s="79" t="str">
        <v>Très long</v>
      </c>
      <c r="L6" s="79" t="str">
        <v>Long</v>
      </c>
      <c r="M6" s="79" t="str">
        <v>Très long</v>
      </c>
      <c r="N6" s="79" t="str">
        <v>Très long</v>
      </c>
      <c r="O6" s="79" t="str">
        <v>Très long</v>
      </c>
    </row>
    <row r="7" spans="1:16" ht="15.75">
      <c r="A7" t="s">
        <v>107</v>
      </c>
      <c r="B7">
        <f t="shared" ref="B7:B11" si="1">ROW(A7)-5</f>
        <v>2</v>
      </c>
      <c r="C7">
        <f t="shared" si="0"/>
        <v>2</v>
      </c>
      <c r="D7" s="62" t="str">
        <f>IF(AND(C7&gt;an,Décisions!B7&gt;0),"Prestation inexistante à cette date","")</f>
        <v/>
      </c>
      <c r="I7" s="77" t="s">
        <v>112</v>
      </c>
      <c r="J7" s="79">
        <f t="array" ref="J7:O7">TRANSPOSE(Décisions!F6:F11)</f>
        <v>1200</v>
      </c>
      <c r="K7" s="79">
        <v>220</v>
      </c>
      <c r="L7" s="79">
        <v>220</v>
      </c>
      <c r="M7" s="79">
        <v>200</v>
      </c>
      <c r="N7" s="79">
        <v>13</v>
      </c>
      <c r="O7" s="79">
        <v>2</v>
      </c>
    </row>
    <row r="8" spans="1:16" ht="15.75">
      <c r="A8" t="s">
        <v>106</v>
      </c>
      <c r="B8">
        <f t="shared" si="1"/>
        <v>3</v>
      </c>
      <c r="C8">
        <f t="shared" si="0"/>
        <v>3</v>
      </c>
      <c r="D8" s="62" t="str">
        <f>IF(AND(C8&gt;an,Décisions!B8&gt;0),"Prestation inexistante à cette date","")</f>
        <v/>
      </c>
      <c r="I8" s="194" t="s">
        <v>200</v>
      </c>
      <c r="J8" s="79">
        <f t="array" ref="J8:O8">TRANSPOSE(Décisions!C6:C11)</f>
        <v>7000</v>
      </c>
      <c r="K8" s="79">
        <v>7000</v>
      </c>
      <c r="L8" s="79">
        <v>5000</v>
      </c>
      <c r="M8" s="79">
        <v>7000</v>
      </c>
      <c r="N8" s="79">
        <v>7000</v>
      </c>
      <c r="O8" s="79">
        <v>5000</v>
      </c>
      <c r="P8">
        <f>SUM(J8:O8)</f>
        <v>38000</v>
      </c>
    </row>
    <row r="9" spans="1:16" ht="15.75">
      <c r="A9" t="s">
        <v>105</v>
      </c>
      <c r="B9">
        <f t="shared" si="1"/>
        <v>4</v>
      </c>
      <c r="C9">
        <f t="shared" si="0"/>
        <v>1</v>
      </c>
      <c r="D9" s="62" t="str">
        <f>IF(AND(C9&gt;an,Décisions!B9&gt;0),"Prestation inexistante à cette date","")</f>
        <v/>
      </c>
    </row>
    <row r="10" spans="1:16" ht="15.75">
      <c r="A10" t="s">
        <v>104</v>
      </c>
      <c r="B10">
        <f t="shared" si="1"/>
        <v>5</v>
      </c>
      <c r="C10">
        <f t="shared" si="0"/>
        <v>4</v>
      </c>
      <c r="D10" s="62" t="str">
        <f>IF(AND(C10&gt;an,Décisions!B10&gt;0),"Prestation inexistante à cette date","")</f>
        <v/>
      </c>
      <c r="I10" t="s">
        <v>71</v>
      </c>
      <c r="J10">
        <f>Paramètres!B4</f>
        <v>1000</v>
      </c>
      <c r="K10">
        <f>IF(Décisions!G19="x",1,0)</f>
        <v>1</v>
      </c>
    </row>
    <row r="11" spans="1:16" ht="15.75">
      <c r="A11" t="s">
        <v>103</v>
      </c>
      <c r="B11">
        <f t="shared" si="1"/>
        <v>6</v>
      </c>
      <c r="C11">
        <f t="shared" si="0"/>
        <v>5</v>
      </c>
      <c r="D11" s="62" t="str">
        <f>IF(AND(C11&gt;an,Décisions!B11&gt;0),"Prestation inexistante à cette date","")</f>
        <v/>
      </c>
      <c r="I11" t="s">
        <v>72</v>
      </c>
      <c r="J11">
        <f>Paramètres!B5</f>
        <v>1000</v>
      </c>
      <c r="K11">
        <f>IF(Décisions!G20="x",1,0)</f>
        <v>1</v>
      </c>
    </row>
    <row r="12" spans="1:16">
      <c r="I12" t="s">
        <v>73</v>
      </c>
      <c r="J12">
        <f>Paramètres!B6</f>
        <v>1000</v>
      </c>
      <c r="K12">
        <f>IF(Décisions!G21="x",1,0)</f>
        <v>1</v>
      </c>
    </row>
    <row r="13" spans="1:16" ht="15.75">
      <c r="A13" t="s">
        <v>121</v>
      </c>
      <c r="B13">
        <f>SUM(Décisions!F6:F11)</f>
        <v>1855</v>
      </c>
      <c r="D13" s="62" t="str">
        <f>IF(B13&gt;$B$15,"Risque de dépassement à l'accueil","")</f>
        <v/>
      </c>
      <c r="I13" t="s">
        <v>74</v>
      </c>
      <c r="J13">
        <f>Paramètres!B7</f>
        <v>1000</v>
      </c>
      <c r="K13">
        <f>IF(Décisions!I19="x",1,0)</f>
        <v>1</v>
      </c>
    </row>
    <row r="14" spans="1:16" ht="15.75">
      <c r="A14" t="s">
        <v>60</v>
      </c>
      <c r="B14">
        <f>Décisions!B33+Décisions!C16</f>
        <v>3</v>
      </c>
      <c r="D14" s="62" t="str">
        <f>IF(B13&gt;B16,"Dépassement de capacité à l'accueil","")</f>
        <v/>
      </c>
      <c r="I14" t="s">
        <v>70</v>
      </c>
      <c r="J14">
        <f>Paramètres!B8</f>
        <v>2000</v>
      </c>
      <c r="K14">
        <f>IF(Décisions!I20="x",1,0)</f>
        <v>1</v>
      </c>
    </row>
    <row r="15" spans="1:16">
      <c r="A15" t="s">
        <v>127</v>
      </c>
      <c r="B15">
        <f>$B$14*Paramètres!$B$32</f>
        <v>3000</v>
      </c>
      <c r="I15" t="s">
        <v>75</v>
      </c>
      <c r="J15">
        <f>Paramètres!B9</f>
        <v>1500</v>
      </c>
      <c r="K15">
        <f>IF(Décisions!I21="x",1,0)</f>
        <v>1</v>
      </c>
    </row>
    <row r="16" spans="1:16">
      <c r="A16" t="s">
        <v>122</v>
      </c>
      <c r="B16">
        <f>$B$14*Paramètres!$B$32*(1+Paramètres!B52)</f>
        <v>3900</v>
      </c>
      <c r="I16" t="s">
        <v>76</v>
      </c>
      <c r="J16">
        <f>Paramètres!B10</f>
        <v>2000</v>
      </c>
      <c r="K16">
        <f>IF(Décisions!G22="x",1,0)</f>
        <v>1</v>
      </c>
    </row>
    <row r="17" spans="1:16">
      <c r="I17" t="s">
        <v>77</v>
      </c>
      <c r="J17">
        <f>Paramètres!B11</f>
        <v>1000</v>
      </c>
      <c r="K17">
        <f>IF(Décisions!G23="x",1,0)</f>
        <v>1</v>
      </c>
    </row>
    <row r="18" spans="1:16">
      <c r="A18" t="s">
        <v>96</v>
      </c>
      <c r="I18" t="s">
        <v>78</v>
      </c>
      <c r="J18">
        <f>Paramètres!B12</f>
        <v>1000</v>
      </c>
      <c r="K18">
        <f>IF(Décisions!G24="x",1,0)</f>
        <v>1</v>
      </c>
    </row>
    <row r="19" spans="1:16">
      <c r="A19" t="s">
        <v>101</v>
      </c>
      <c r="B19" t="str">
        <f>Décisions!E6</f>
        <v>Long</v>
      </c>
      <c r="C19" s="65">
        <f>Paramètres!$F$17*VLOOKUP(B19,tab_temps,2,FALSE)*Décisions!F6/100</f>
        <v>2160</v>
      </c>
      <c r="I19" t="s">
        <v>110</v>
      </c>
      <c r="J19">
        <f>Paramètres!B13</f>
        <v>1000</v>
      </c>
      <c r="K19">
        <f>IF(Décisions!G25="x",1,0)</f>
        <v>1</v>
      </c>
    </row>
    <row r="20" spans="1:16">
      <c r="A20" t="s">
        <v>107</v>
      </c>
      <c r="B20" t="str">
        <f>Décisions!E7</f>
        <v>Très long</v>
      </c>
      <c r="C20" s="65">
        <f>Paramètres!$G$17*VLOOKUP(B20,tab_temps,3,FALSE)*Décisions!F7/100</f>
        <v>1320</v>
      </c>
      <c r="I20" s="187" t="s">
        <v>235</v>
      </c>
      <c r="J20">
        <f>Paramètres!B14</f>
        <v>1000</v>
      </c>
      <c r="K20">
        <f>IF(Décisions!I22="x",1,0)</f>
        <v>1</v>
      </c>
    </row>
    <row r="21" spans="1:16">
      <c r="A21" t="s">
        <v>106</v>
      </c>
      <c r="B21" t="str">
        <f>Décisions!E8</f>
        <v>Long</v>
      </c>
      <c r="C21" s="65">
        <f>Paramètres!$H$17*VLOOKUP(B21,tab_temps,4,FALSE)*Décisions!F8/100</f>
        <v>1584</v>
      </c>
    </row>
    <row r="22" spans="1:16">
      <c r="A22" t="s">
        <v>105</v>
      </c>
      <c r="B22" t="str">
        <f>Décisions!E9</f>
        <v>Très long</v>
      </c>
      <c r="C22" s="65">
        <f>Paramètres!$I$17*VLOOKUP(B22,tab_temps,5,FALSE)*Décisions!F9/100</f>
        <v>4500</v>
      </c>
      <c r="I22" s="187" t="s">
        <v>196</v>
      </c>
    </row>
    <row r="23" spans="1:16">
      <c r="A23" t="s">
        <v>104</v>
      </c>
      <c r="B23" t="str">
        <f>Décisions!E10</f>
        <v>Très long</v>
      </c>
      <c r="C23" s="65">
        <f>Paramètres!$J$17*VLOOKUP(B23,tab_temps,6,FALSE)*Décisions!F10/100</f>
        <v>468</v>
      </c>
      <c r="I23" s="188" t="s">
        <v>58</v>
      </c>
      <c r="J23">
        <f>IF(Décisions!$C$15&gt;0,Décisions!$C$15,0)</f>
        <v>0</v>
      </c>
      <c r="K23">
        <f>J23*Paramètres!$B$38</f>
        <v>0</v>
      </c>
    </row>
    <row r="24" spans="1:16">
      <c r="A24" t="s">
        <v>103</v>
      </c>
      <c r="B24" t="str">
        <f>Décisions!E11</f>
        <v>Très long</v>
      </c>
      <c r="C24" s="65">
        <f>Paramètres!$K$17*VLOOKUP(B24,tab_temps,7,FALSE)*Décisions!F11/100</f>
        <v>300</v>
      </c>
      <c r="I24" s="189" t="s">
        <v>142</v>
      </c>
      <c r="J24">
        <f>IF(Décisions!$C$16&gt;0,Décisions!$C$16,0)</f>
        <v>0</v>
      </c>
      <c r="K24">
        <f>J24*Paramètres!$B$37</f>
        <v>0</v>
      </c>
    </row>
    <row r="25" spans="1:16">
      <c r="A25" s="64" t="s">
        <v>16</v>
      </c>
      <c r="C25" s="65">
        <f>SUM(C19:C24)</f>
        <v>10332</v>
      </c>
      <c r="I25" s="187" t="s">
        <v>197</v>
      </c>
    </row>
    <row r="26" spans="1:16" ht="15.75">
      <c r="A26" t="s">
        <v>126</v>
      </c>
      <c r="B26">
        <f>Décisions!B32+Décisions!C15</f>
        <v>10</v>
      </c>
      <c r="D26" s="62" t="str">
        <f>(IF(C25&gt;B27,"Risque de dépassement des heures technicien",""))</f>
        <v/>
      </c>
      <c r="I26" s="188" t="s">
        <v>58</v>
      </c>
      <c r="J26">
        <f>IF(Décisions!$C$15&lt;0,-Décisions!$C$15,0)</f>
        <v>6</v>
      </c>
      <c r="K26">
        <f>J26*Paramètres!$B$41</f>
        <v>30000</v>
      </c>
    </row>
    <row r="27" spans="1:16" ht="15.75">
      <c r="A27" s="43" t="s">
        <v>130</v>
      </c>
      <c r="B27">
        <f>$B$26*Paramètres!$B$33</f>
        <v>12000</v>
      </c>
      <c r="D27" s="62" t="str">
        <f>IF(C25&gt;B28,"Dépassement des heures techniciens","")</f>
        <v/>
      </c>
      <c r="I27" s="189" t="s">
        <v>142</v>
      </c>
      <c r="J27">
        <f>IF(Décisions!$C$16&lt;0,-Décisions!$C$16,0)</f>
        <v>3</v>
      </c>
      <c r="K27">
        <f>J27*Paramètres!$B$40</f>
        <v>12000</v>
      </c>
    </row>
    <row r="28" spans="1:16">
      <c r="A28" s="43" t="s">
        <v>131</v>
      </c>
      <c r="B28">
        <f>$B$26*Paramètres!$B$33*(1+Paramètres!B53)</f>
        <v>15600</v>
      </c>
      <c r="I28" s="193" t="s">
        <v>199</v>
      </c>
      <c r="K28">
        <f>SUM(K23:K27)</f>
        <v>42000</v>
      </c>
    </row>
    <row r="30" spans="1:16" ht="15.75">
      <c r="A30" s="187" t="s">
        <v>226</v>
      </c>
      <c r="B30" s="144">
        <f>$Z$37</f>
        <v>9</v>
      </c>
      <c r="D30" s="62" t="str">
        <f>IF(C25&gt;B31, "Nb de stations insuffisant","")</f>
        <v/>
      </c>
    </row>
    <row r="31" spans="1:16">
      <c r="A31" s="43" t="s">
        <v>132</v>
      </c>
      <c r="B31">
        <f>capac_tot_stations</f>
        <v>17400</v>
      </c>
    </row>
    <row r="32" spans="1:16" ht="15.75">
      <c r="A32" s="43" t="s">
        <v>143</v>
      </c>
      <c r="B32">
        <f>$Z$45</f>
        <v>1</v>
      </c>
      <c r="D32" s="62" t="str">
        <f>IF($Z$35&gt;$Z$34-HLOOKUP(an,$Q$33:$Y$34,2,FALSE),"Décision incohérente","")</f>
        <v/>
      </c>
      <c r="I32" s="187"/>
      <c r="P32" s="204" t="str">
        <f>Décisions!F31</f>
        <v>Historique des stations</v>
      </c>
    </row>
    <row r="33" spans="1:27">
      <c r="P33" s="198" t="str">
        <f>Décisions!F32</f>
        <v>Période</v>
      </c>
      <c r="Q33" s="199">
        <v>1</v>
      </c>
      <c r="R33" s="199">
        <v>2</v>
      </c>
      <c r="S33" s="199">
        <v>3</v>
      </c>
      <c r="T33" s="199">
        <v>4</v>
      </c>
      <c r="U33" s="199">
        <v>5</v>
      </c>
      <c r="V33" s="199">
        <v>6</v>
      </c>
      <c r="W33" s="199">
        <v>7</v>
      </c>
      <c r="X33" s="199">
        <v>8</v>
      </c>
      <c r="Y33" s="199">
        <v>9</v>
      </c>
      <c r="Z33" s="201" t="s">
        <v>16</v>
      </c>
    </row>
    <row r="34" spans="1:27">
      <c r="P34" s="198" t="s">
        <v>157</v>
      </c>
      <c r="Q34">
        <f>IF(Q33&lt;an,Décisions!G33,IF(Q33=an,MAX(0,Décisions!$C$23)+Décisions!$C$24,0))</f>
        <v>1</v>
      </c>
      <c r="R34">
        <f>IF(R33&lt;an,Décisions!H33,IF(R33=an,MAX(0,Décisions!$C$23)+Décisions!$C$24,0))</f>
        <v>1</v>
      </c>
      <c r="S34">
        <f>IF(S33&lt;an,Décisions!I33,IF(S33=an,MAX(0,Décisions!$C$23)+Décisions!$C$24,0))</f>
        <v>1</v>
      </c>
      <c r="T34">
        <f>IF(T33&lt;an,Décisions!J33,IF(T33=an,MAX(0,Décisions!$C$23)+Décisions!$C$24,0))</f>
        <v>7</v>
      </c>
      <c r="U34">
        <f>IF(U33&lt;an,Décisions!K33,IF(U33=an,MAX(0,Décisions!$C$23)+Décisions!$C$24,0))</f>
        <v>0</v>
      </c>
      <c r="V34">
        <f>IF(V33&lt;an,Décisions!L33,IF(V33=an,MAX(0,Décisions!$C$23)+Décisions!$C$24,0))</f>
        <v>0</v>
      </c>
      <c r="W34">
        <f>IF(W33&lt;an,Décisions!M33,IF(W33=an,MAX(0,Décisions!$C$23)+Décisions!$C$24,0))</f>
        <v>0</v>
      </c>
      <c r="X34">
        <f>IF(X33&lt;an,Décisions!N33,IF(X33=an,MAX(0,Décisions!$C$23)+Décisions!$C$24,0))</f>
        <v>0</v>
      </c>
      <c r="Y34">
        <f>IF(Y33&lt;an,Décisions!O33,IF(Y33=an,MAX(0,Décisions!$C$23)+Décisions!$C$24,0))</f>
        <v>0</v>
      </c>
      <c r="Z34" s="202">
        <f>SUM(Q34:Y34)</f>
        <v>10</v>
      </c>
    </row>
    <row r="35" spans="1:27" ht="15.75">
      <c r="A35" t="s">
        <v>136</v>
      </c>
      <c r="B35" s="80">
        <f>Décisions!B40+Décisions!B28</f>
        <v>0</v>
      </c>
      <c r="D35" s="62" t="str">
        <f>IF(B35&lt;0, "Décison incohérente","")</f>
        <v/>
      </c>
      <c r="I35" s="43"/>
      <c r="P35" s="198" t="s">
        <v>34</v>
      </c>
      <c r="Q35">
        <f>IF(Q33&lt;an,Décisions!G34,IF(Q33=an,MAX(0,-Décisions!$C$23)+Décisions!$C$24,0))</f>
        <v>0</v>
      </c>
      <c r="R35">
        <f>IF(R33&lt;an,Décisions!H34,IF(R33=an,MAX(0,-Décisions!$C$23)+Décisions!$C$24,0))</f>
        <v>0</v>
      </c>
      <c r="S35">
        <f>IF(S33&lt;an,Décisions!I34,IF(S33=an,MAX(0,-Décisions!$C$23)+Décisions!$C$24,0))</f>
        <v>0</v>
      </c>
      <c r="T35">
        <f>IF(T33&lt;an,Décisions!J34,IF(T33=an,MAX(0,-Décisions!$C$23)+Décisions!$C$24,0))</f>
        <v>0</v>
      </c>
      <c r="U35">
        <f>IF(U33&lt;an,Décisions!K34,IF(U33=an,MAX(0,-Décisions!$C$23)+Décisions!$C$24,0))</f>
        <v>1</v>
      </c>
      <c r="V35">
        <f>IF(V33&lt;an,Décisions!L34,IF(V33=an,MAX(0,-Décisions!$C$23)+Décisions!$C$24,0))</f>
        <v>0</v>
      </c>
      <c r="W35">
        <f>IF(W33&lt;an,Décisions!M34,IF(W33=an,MAX(0,-Décisions!$C$23)+Décisions!$C$24,0))</f>
        <v>0</v>
      </c>
      <c r="X35">
        <f>IF(X33&lt;an,Décisions!N34,IF(X33=an,MAX(0,-Décisions!$C$23)+Décisions!$C$24,0))</f>
        <v>0</v>
      </c>
      <c r="Y35">
        <f>IF(Y33&lt;an,Décisions!O34,IF(Y33=an,MAX(0,-Décisions!$C$23)+Décisions!$C$24,0))</f>
        <v>0</v>
      </c>
      <c r="Z35" s="202">
        <f>SUM(Q35:Y35)</f>
        <v>1</v>
      </c>
    </row>
    <row r="36" spans="1:27">
      <c r="I36" s="43"/>
      <c r="P36" s="198" t="s">
        <v>213</v>
      </c>
      <c r="Q36" s="141">
        <f t="shared" ref="Q36:Z36" si="2">IF(Q33&lt;=an,MIN((an-Q33)/durée_amort,1),"")</f>
        <v>0.8</v>
      </c>
      <c r="R36" s="141">
        <f t="shared" si="2"/>
        <v>0.6</v>
      </c>
      <c r="S36" s="141">
        <f t="shared" si="2"/>
        <v>0.4</v>
      </c>
      <c r="T36" s="141">
        <f t="shared" si="2"/>
        <v>0.2</v>
      </c>
      <c r="U36" s="141">
        <f t="shared" si="2"/>
        <v>0</v>
      </c>
      <c r="V36" s="141" t="str">
        <f t="shared" si="2"/>
        <v/>
      </c>
      <c r="W36" s="141" t="str">
        <f t="shared" si="2"/>
        <v/>
      </c>
      <c r="X36" s="141" t="str">
        <f t="shared" si="2"/>
        <v/>
      </c>
      <c r="Y36" s="141" t="str">
        <f t="shared" si="2"/>
        <v/>
      </c>
      <c r="Z36" s="203" t="str">
        <f t="shared" si="2"/>
        <v/>
      </c>
    </row>
    <row r="37" spans="1:27">
      <c r="I37" s="43"/>
      <c r="P37" s="198" t="s">
        <v>219</v>
      </c>
      <c r="Q37">
        <f>MAX(0,Q34-Z35)</f>
        <v>0</v>
      </c>
      <c r="R37">
        <f t="shared" ref="R37:Y37" si="3">MAX(0,R34-Q39)</f>
        <v>1</v>
      </c>
      <c r="S37">
        <f t="shared" si="3"/>
        <v>1</v>
      </c>
      <c r="T37">
        <f t="shared" si="3"/>
        <v>7</v>
      </c>
      <c r="U37">
        <f t="shared" si="3"/>
        <v>0</v>
      </c>
      <c r="V37">
        <f t="shared" si="3"/>
        <v>0</v>
      </c>
      <c r="W37">
        <f t="shared" si="3"/>
        <v>0</v>
      </c>
      <c r="X37">
        <f t="shared" si="3"/>
        <v>0</v>
      </c>
      <c r="Y37">
        <f t="shared" si="3"/>
        <v>0</v>
      </c>
      <c r="Z37" s="202">
        <f>SUM(Q37:Y37)</f>
        <v>9</v>
      </c>
    </row>
    <row r="38" spans="1:27">
      <c r="I38" s="43"/>
      <c r="P38" s="198" t="s">
        <v>225</v>
      </c>
      <c r="Q38">
        <f t="shared" ref="Q38:Y38" si="4">IF(Q33&lt;=an,MIN(1,Q36+1/durée_amort)*Px_achat_station*Q37,"")</f>
        <v>0</v>
      </c>
      <c r="R38">
        <f t="shared" si="4"/>
        <v>9600</v>
      </c>
      <c r="S38">
        <f t="shared" si="4"/>
        <v>7200.0000000000009</v>
      </c>
      <c r="T38">
        <f t="shared" si="4"/>
        <v>33600</v>
      </c>
      <c r="U38">
        <f t="shared" si="4"/>
        <v>0</v>
      </c>
      <c r="V38" t="str">
        <f t="shared" si="4"/>
        <v/>
      </c>
      <c r="W38" t="str">
        <f t="shared" si="4"/>
        <v/>
      </c>
      <c r="X38" t="str">
        <f t="shared" si="4"/>
        <v/>
      </c>
      <c r="Y38" t="str">
        <f t="shared" si="4"/>
        <v/>
      </c>
      <c r="Z38" s="202">
        <f>SUM(Q38:Y38)</f>
        <v>50400</v>
      </c>
    </row>
    <row r="39" spans="1:27">
      <c r="I39" s="43"/>
      <c r="P39" s="200" t="s">
        <v>214</v>
      </c>
      <c r="Q39">
        <f>MAX(0,$Z$35-Q34)</f>
        <v>0</v>
      </c>
      <c r="R39">
        <f t="shared" ref="R39:Z39" si="5">MAX(0,Q39-R34)</f>
        <v>0</v>
      </c>
      <c r="S39">
        <f t="shared" si="5"/>
        <v>0</v>
      </c>
      <c r="T39">
        <f t="shared" si="5"/>
        <v>0</v>
      </c>
      <c r="U39">
        <f t="shared" si="5"/>
        <v>0</v>
      </c>
      <c r="V39">
        <f t="shared" si="5"/>
        <v>0</v>
      </c>
      <c r="W39">
        <f t="shared" si="5"/>
        <v>0</v>
      </c>
      <c r="X39">
        <f t="shared" si="5"/>
        <v>0</v>
      </c>
      <c r="Y39">
        <f t="shared" si="5"/>
        <v>0</v>
      </c>
      <c r="Z39" s="202">
        <f t="shared" si="5"/>
        <v>0</v>
      </c>
    </row>
    <row r="40" spans="1:27">
      <c r="I40" s="43"/>
      <c r="P40" s="200" t="s">
        <v>218</v>
      </c>
      <c r="Q40">
        <f>Q34-Q37</f>
        <v>1</v>
      </c>
      <c r="R40">
        <f t="shared" ref="R40:Y40" si="6">R34-R37</f>
        <v>0</v>
      </c>
      <c r="S40">
        <f t="shared" si="6"/>
        <v>0</v>
      </c>
      <c r="T40">
        <f t="shared" si="6"/>
        <v>0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 s="202"/>
    </row>
    <row r="41" spans="1:27">
      <c r="P41" s="200" t="s">
        <v>221</v>
      </c>
      <c r="Q41">
        <f>Q40</f>
        <v>1</v>
      </c>
      <c r="R41">
        <f>Q41+R40</f>
        <v>1</v>
      </c>
      <c r="S41">
        <f t="shared" ref="S41:Y41" si="7">R41+S40</f>
        <v>1</v>
      </c>
      <c r="T41">
        <f t="shared" si="7"/>
        <v>1</v>
      </c>
      <c r="U41">
        <f t="shared" si="7"/>
        <v>1</v>
      </c>
      <c r="V41">
        <f t="shared" si="7"/>
        <v>1</v>
      </c>
      <c r="W41">
        <f t="shared" si="7"/>
        <v>1</v>
      </c>
      <c r="X41">
        <f t="shared" si="7"/>
        <v>1</v>
      </c>
      <c r="Y41">
        <f t="shared" si="7"/>
        <v>1</v>
      </c>
      <c r="Z41" s="202"/>
    </row>
    <row r="42" spans="1:27">
      <c r="P42" s="198" t="s">
        <v>215</v>
      </c>
      <c r="Q42" s="141">
        <f t="shared" ref="Q42:Z42" si="8">IF(Q33&lt;=an,VLOOKUP(an-Q33,tab_usure,2,FALSE),"")</f>
        <v>0.7</v>
      </c>
      <c r="R42" s="141">
        <f t="shared" si="8"/>
        <v>0.8</v>
      </c>
      <c r="S42" s="141">
        <f t="shared" si="8"/>
        <v>0.9</v>
      </c>
      <c r="T42" s="141">
        <f t="shared" si="8"/>
        <v>1</v>
      </c>
      <c r="U42" s="141">
        <f t="shared" si="8"/>
        <v>1</v>
      </c>
      <c r="V42" s="141" t="str">
        <f t="shared" si="8"/>
        <v/>
      </c>
      <c r="W42" s="141" t="str">
        <f t="shared" si="8"/>
        <v/>
      </c>
      <c r="X42" s="141" t="str">
        <f t="shared" si="8"/>
        <v/>
      </c>
      <c r="Y42" s="141" t="str">
        <f t="shared" si="8"/>
        <v/>
      </c>
      <c r="Z42" s="203" t="str">
        <f t="shared" si="8"/>
        <v/>
      </c>
    </row>
    <row r="43" spans="1:27">
      <c r="P43" s="198" t="s">
        <v>132</v>
      </c>
      <c r="Q43">
        <f t="shared" ref="Q43:Y43" si="9">IF(Q33&lt;=an,Q37*Q42*capac_station,"")</f>
        <v>0</v>
      </c>
      <c r="R43">
        <f t="shared" si="9"/>
        <v>1600</v>
      </c>
      <c r="S43">
        <f t="shared" si="9"/>
        <v>1800</v>
      </c>
      <c r="T43">
        <f t="shared" si="9"/>
        <v>14000</v>
      </c>
      <c r="U43">
        <f t="shared" si="9"/>
        <v>0</v>
      </c>
      <c r="V43" t="str">
        <f t="shared" si="9"/>
        <v/>
      </c>
      <c r="W43" t="str">
        <f t="shared" si="9"/>
        <v/>
      </c>
      <c r="X43" t="str">
        <f t="shared" si="9"/>
        <v/>
      </c>
      <c r="Y43" t="str">
        <f t="shared" si="9"/>
        <v/>
      </c>
      <c r="Z43" s="202">
        <f>SUM(Q43:Y43)</f>
        <v>17400</v>
      </c>
    </row>
    <row r="44" spans="1:27">
      <c r="P44" s="198" t="s">
        <v>224</v>
      </c>
      <c r="Q44">
        <f t="shared" ref="Q44:Z44" si="10">IF(Q33&lt;=an,(1-Q36)*Px_achat_station,"")</f>
        <v>2399.9999999999995</v>
      </c>
      <c r="R44">
        <f t="shared" si="10"/>
        <v>4800</v>
      </c>
      <c r="S44">
        <f t="shared" si="10"/>
        <v>7200</v>
      </c>
      <c r="T44">
        <f t="shared" si="10"/>
        <v>9600</v>
      </c>
      <c r="U44">
        <f t="shared" si="10"/>
        <v>12000</v>
      </c>
      <c r="V44" t="str">
        <f t="shared" si="10"/>
        <v/>
      </c>
      <c r="W44" t="str">
        <f t="shared" si="10"/>
        <v/>
      </c>
      <c r="X44" t="str">
        <f t="shared" si="10"/>
        <v/>
      </c>
      <c r="Y44" t="str">
        <f t="shared" si="10"/>
        <v/>
      </c>
      <c r="Z44" s="202" t="str">
        <f t="shared" si="10"/>
        <v/>
      </c>
      <c r="AA44">
        <f>Z35-Z45</f>
        <v>0</v>
      </c>
    </row>
    <row r="45" spans="1:27">
      <c r="P45" s="198" t="s">
        <v>220</v>
      </c>
      <c r="Q45">
        <f>IF(Q33&lt;an,IF(Q41&lt;=$AA$44,0,MIN(Q40-$AA$44,Z45)),"")</f>
        <v>1</v>
      </c>
      <c r="R45">
        <f t="shared" ref="R45:Y45" si="11">IF(R33&lt;an,IF(R41&lt;=$AA$44,0,MIN(R40,MAX(0,$Z$45-Q46))),"")</f>
        <v>0</v>
      </c>
      <c r="S45">
        <f t="shared" si="11"/>
        <v>0</v>
      </c>
      <c r="T45">
        <f t="shared" si="11"/>
        <v>0</v>
      </c>
      <c r="U45" t="str">
        <f t="shared" si="11"/>
        <v/>
      </c>
      <c r="V45" t="str">
        <f t="shared" si="11"/>
        <v/>
      </c>
      <c r="W45" t="str">
        <f t="shared" si="11"/>
        <v/>
      </c>
      <c r="X45" t="str">
        <f t="shared" si="11"/>
        <v/>
      </c>
      <c r="Y45" t="str">
        <f t="shared" si="11"/>
        <v/>
      </c>
      <c r="Z45" s="202">
        <f>HLOOKUP(an,$Q$33:$Y$35,3,FALSE)</f>
        <v>1</v>
      </c>
    </row>
    <row r="46" spans="1:27">
      <c r="P46" s="200" t="s">
        <v>222</v>
      </c>
      <c r="Q46">
        <f>Q45</f>
        <v>1</v>
      </c>
      <c r="R46">
        <f t="shared" ref="R46:Y46" si="12">IF(R33&lt;an,Q46+R45,"")</f>
        <v>1</v>
      </c>
      <c r="S46">
        <f t="shared" si="12"/>
        <v>1</v>
      </c>
      <c r="T46">
        <f t="shared" si="12"/>
        <v>1</v>
      </c>
      <c r="U46" t="str">
        <f t="shared" si="12"/>
        <v/>
      </c>
      <c r="V46" t="str">
        <f t="shared" si="12"/>
        <v/>
      </c>
      <c r="W46" t="str">
        <f t="shared" si="12"/>
        <v/>
      </c>
      <c r="X46" t="str">
        <f t="shared" si="12"/>
        <v/>
      </c>
      <c r="Y46" t="str">
        <f t="shared" si="12"/>
        <v/>
      </c>
      <c r="Z46" s="202"/>
    </row>
    <row r="47" spans="1:27">
      <c r="P47" s="198" t="s">
        <v>223</v>
      </c>
      <c r="Q47">
        <f t="shared" ref="Q47:Y47" si="13">IF(Q33&lt;an,Q45*Q44,"")</f>
        <v>2399.9999999999995</v>
      </c>
      <c r="R47">
        <f t="shared" si="13"/>
        <v>0</v>
      </c>
      <c r="S47">
        <f t="shared" si="13"/>
        <v>0</v>
      </c>
      <c r="T47">
        <f t="shared" si="13"/>
        <v>0</v>
      </c>
      <c r="U47" t="str">
        <f t="shared" si="13"/>
        <v/>
      </c>
      <c r="V47" t="str">
        <f t="shared" si="13"/>
        <v/>
      </c>
      <c r="W47" t="str">
        <f t="shared" si="13"/>
        <v/>
      </c>
      <c r="X47" t="str">
        <f t="shared" si="13"/>
        <v/>
      </c>
      <c r="Y47" t="str">
        <f t="shared" si="13"/>
        <v/>
      </c>
      <c r="Z47" s="202">
        <f>SUM(Q47:Y47)</f>
        <v>2399.9999999999995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L35"/>
  <sheetViews>
    <sheetView topLeftCell="A12" zoomScale="80" zoomScaleNormal="80" zoomScalePageLayoutView="80" workbookViewId="0">
      <selection activeCell="B32" sqref="B32"/>
    </sheetView>
  </sheetViews>
  <sheetFormatPr baseColWidth="10" defaultColWidth="11.42578125" defaultRowHeight="13.5"/>
  <cols>
    <col min="1" max="1" width="30.7109375" style="4" customWidth="1"/>
    <col min="2" max="2" width="13.28515625" style="21" customWidth="1"/>
    <col min="3" max="8" width="13.28515625" style="4" customWidth="1"/>
    <col min="9" max="11" width="12.7109375" style="4" customWidth="1"/>
    <col min="12" max="16384" width="11.42578125" style="4"/>
  </cols>
  <sheetData>
    <row r="1" spans="1:12" s="28" customFormat="1" ht="18">
      <c r="A1" s="28" t="s">
        <v>46</v>
      </c>
      <c r="B1" s="72" t="s">
        <v>47</v>
      </c>
      <c r="C1" s="75">
        <f>Décisions!$C$2</f>
        <v>2</v>
      </c>
      <c r="D1" s="73" t="s">
        <v>70</v>
      </c>
      <c r="E1" s="75">
        <f>Décisions!$F$2</f>
        <v>5</v>
      </c>
      <c r="F1" s="73"/>
      <c r="G1" s="72" t="s">
        <v>48</v>
      </c>
      <c r="H1" s="74">
        <f>an</f>
        <v>5</v>
      </c>
    </row>
    <row r="2" spans="1:12" s="28" customFormat="1" ht="18">
      <c r="A2" s="71"/>
      <c r="B2" s="72"/>
      <c r="C2" s="75"/>
      <c r="D2" s="73"/>
      <c r="E2" s="75"/>
      <c r="F2" s="73"/>
      <c r="G2" s="72"/>
      <c r="H2" s="74"/>
    </row>
    <row r="3" spans="1:12" s="28" customFormat="1" ht="18">
      <c r="A3" s="74" t="s">
        <v>134</v>
      </c>
      <c r="B3" s="210" t="s">
        <v>184</v>
      </c>
      <c r="C3" s="210"/>
      <c r="D3" s="210"/>
      <c r="E3" s="210"/>
      <c r="F3" s="210"/>
      <c r="G3" s="210"/>
      <c r="H3" s="210"/>
    </row>
    <row r="4" spans="1:12" ht="14.25" thickBot="1"/>
    <row r="5" spans="1:12" ht="27.75" customHeight="1" thickBot="1">
      <c r="A5" s="69" t="s">
        <v>19</v>
      </c>
      <c r="B5" s="70" t="s">
        <v>16</v>
      </c>
      <c r="C5" s="116">
        <v>1</v>
      </c>
      <c r="D5" s="117">
        <v>2</v>
      </c>
      <c r="E5" s="118">
        <v>3</v>
      </c>
      <c r="F5" s="119">
        <v>4</v>
      </c>
      <c r="G5" s="120">
        <v>5</v>
      </c>
      <c r="H5" s="121">
        <v>6</v>
      </c>
      <c r="I5"/>
    </row>
    <row r="6" spans="1:12" ht="27.75" customHeight="1">
      <c r="A6" s="19" t="s">
        <v>34</v>
      </c>
      <c r="B6" s="100">
        <f>SUM(C6:H6)</f>
        <v>1384500</v>
      </c>
      <c r="C6" s="101">
        <f>'Validation décisions'!J4*'Validation décisions'!J7</f>
        <v>174000</v>
      </c>
      <c r="D6" s="101">
        <f>'Validation décisions'!K4*'Validation décisions'!K7</f>
        <v>253000</v>
      </c>
      <c r="E6" s="101">
        <f>'Validation décisions'!L4*'Validation décisions'!L7</f>
        <v>88000</v>
      </c>
      <c r="F6" s="101">
        <f>'Validation décisions'!M4*'Validation décisions'!M7</f>
        <v>800000</v>
      </c>
      <c r="G6" s="101">
        <f>'Validation décisions'!N4*'Validation décisions'!N7</f>
        <v>45500</v>
      </c>
      <c r="H6" s="102">
        <f>'Validation décisions'!O4*'Validation décisions'!O7</f>
        <v>24000</v>
      </c>
      <c r="K6" s="43"/>
      <c r="L6"/>
    </row>
    <row r="7" spans="1:12" ht="27.75" customHeight="1">
      <c r="A7" s="7" t="s">
        <v>35</v>
      </c>
      <c r="B7" s="100">
        <f t="shared" ref="B7:B8" si="0">SUM(C7:H7)</f>
        <v>0</v>
      </c>
      <c r="C7" s="103"/>
      <c r="D7" s="103"/>
      <c r="E7" s="103"/>
      <c r="F7" s="103"/>
      <c r="G7" s="103"/>
      <c r="H7" s="104"/>
      <c r="K7"/>
      <c r="L7"/>
    </row>
    <row r="8" spans="1:12" s="11" customFormat="1" ht="27.75" customHeight="1" thickBot="1">
      <c r="A8" s="156" t="s">
        <v>20</v>
      </c>
      <c r="B8" s="157">
        <f t="shared" si="0"/>
        <v>1384500</v>
      </c>
      <c r="C8" s="158">
        <f>C6+C7</f>
        <v>174000</v>
      </c>
      <c r="D8" s="158">
        <f t="shared" ref="D8:H8" si="1">D6+D7</f>
        <v>253000</v>
      </c>
      <c r="E8" s="158">
        <f t="shared" si="1"/>
        <v>88000</v>
      </c>
      <c r="F8" s="158">
        <f t="shared" si="1"/>
        <v>800000</v>
      </c>
      <c r="G8" s="158">
        <f t="shared" si="1"/>
        <v>45500</v>
      </c>
      <c r="H8" s="159">
        <f t="shared" si="1"/>
        <v>24000</v>
      </c>
      <c r="K8"/>
      <c r="L8"/>
    </row>
    <row r="9" spans="1:12" ht="27.75" customHeight="1" thickTop="1">
      <c r="A9" s="146" t="s">
        <v>21</v>
      </c>
      <c r="B9" s="153"/>
      <c r="C9" s="154"/>
      <c r="D9" s="154"/>
      <c r="E9" s="154"/>
      <c r="F9" s="154"/>
      <c r="G9" s="154"/>
      <c r="H9" s="155"/>
      <c r="K9"/>
      <c r="L9"/>
    </row>
    <row r="10" spans="1:12" ht="27.75" customHeight="1" thickBot="1">
      <c r="A10" s="19" t="s">
        <v>36</v>
      </c>
      <c r="B10" s="82">
        <f>SUM(C10:H10)</f>
        <v>627720</v>
      </c>
      <c r="C10" s="103">
        <f>ROUND('Validation décisions'!J7*HLOOKUP('Validation décisions'!J3,cout_comp,2,)*VLOOKUP('Validation décisions'!J5,tab_niveau,Paramètres!F3+1,)/100,0)</f>
        <v>28800</v>
      </c>
      <c r="D10" s="103">
        <f>ROUND('Validation décisions'!K7*HLOOKUP('Validation décisions'!K3,cout_comp,2,)*VLOOKUP('Validation décisions'!K5,tab_niveau,Paramètres!G3+1,)/100,0)</f>
        <v>154000</v>
      </c>
      <c r="E10" s="103">
        <f>ROUND('Validation décisions'!L7*HLOOKUP('Validation décisions'!L3,cout_comp,2,)*VLOOKUP('Validation décisions'!L5,tab_niveau,Paramètres!H3+1,)/100,0)</f>
        <v>0</v>
      </c>
      <c r="F10" s="103">
        <f>ROUND('Validation décisions'!M7*HLOOKUP('Validation décisions'!M3,cout_comp,2,)*VLOOKUP('Validation décisions'!M5,tab_niveau,Paramètres!I3+1,)/100,0)</f>
        <v>420000</v>
      </c>
      <c r="G10" s="103">
        <f>ROUND('Validation décisions'!N7*HLOOKUP('Validation décisions'!N3,cout_comp,2,)*VLOOKUP('Validation décisions'!N5,tab_niveau,Paramètres!J3+1,)/100,0)</f>
        <v>10920</v>
      </c>
      <c r="H10" s="105">
        <f>ROUND('Validation décisions'!O7*HLOOKUP('Validation décisions'!O3,cout_comp,2,)*VLOOKUP('Validation décisions'!O5,tab_niveau,Paramètres!K3+1,)/100,0)</f>
        <v>14000</v>
      </c>
      <c r="K10"/>
      <c r="L10"/>
    </row>
    <row r="11" spans="1:12" ht="27.75" customHeight="1">
      <c r="A11" s="23" t="s">
        <v>22</v>
      </c>
      <c r="B11" s="81"/>
      <c r="C11" s="174"/>
      <c r="D11" s="173"/>
      <c r="E11" s="173"/>
      <c r="F11" s="173"/>
      <c r="G11" s="173"/>
      <c r="H11" s="173"/>
      <c r="I11" s="14"/>
      <c r="K11"/>
      <c r="L11"/>
    </row>
    <row r="12" spans="1:12" ht="27.75" customHeight="1">
      <c r="A12" s="20" t="s">
        <v>37</v>
      </c>
      <c r="B12" s="82">
        <f>Paramètres!$B$17*'Validation décisions'!$B$30</f>
        <v>13500</v>
      </c>
      <c r="C12" s="172"/>
      <c r="D12" s="166"/>
      <c r="E12" s="166"/>
      <c r="F12" s="166"/>
      <c r="G12" s="166"/>
      <c r="H12" s="166"/>
      <c r="K12"/>
      <c r="L12"/>
    </row>
    <row r="13" spans="1:12" ht="27.75" customHeight="1">
      <c r="A13" s="20" t="s">
        <v>38</v>
      </c>
      <c r="B13" s="82">
        <f>Décisions!$C$19+Décisions!$C$20+'Validation décisions'!$P$8</f>
        <v>68000</v>
      </c>
      <c r="C13" s="172"/>
      <c r="D13" s="166"/>
      <c r="E13" s="166"/>
      <c r="F13" s="166"/>
      <c r="G13" s="166"/>
      <c r="H13" s="166"/>
    </row>
    <row r="14" spans="1:12" ht="27.75" customHeight="1">
      <c r="A14" s="20" t="s">
        <v>39</v>
      </c>
      <c r="B14" s="82">
        <f>Décisions!$I$15+Décisions!$I$16</f>
        <v>84150</v>
      </c>
      <c r="C14" s="172"/>
      <c r="D14" s="166"/>
      <c r="E14" s="166"/>
      <c r="F14" s="166"/>
      <c r="G14" s="166"/>
      <c r="H14" s="166"/>
    </row>
    <row r="15" spans="1:12" ht="27.75" customHeight="1">
      <c r="A15" s="20" t="s">
        <v>15</v>
      </c>
      <c r="B15" s="82">
        <f>SUMPRODUCT('Validation décisions'!J10:J20,'Validation décisions'!K10:K20)</f>
        <v>13500</v>
      </c>
      <c r="C15" s="172"/>
      <c r="D15" s="166" t="s">
        <v>236</v>
      </c>
      <c r="E15" s="166"/>
      <c r="F15" s="166"/>
      <c r="G15" s="166"/>
      <c r="H15" s="166"/>
    </row>
    <row r="16" spans="1:12" s="11" customFormat="1" ht="27.75" customHeight="1" thickBot="1">
      <c r="A16" s="9" t="s">
        <v>16</v>
      </c>
      <c r="B16" s="106">
        <f>SUM(B12:B15)</f>
        <v>179150</v>
      </c>
      <c r="C16" s="175"/>
      <c r="D16" s="167"/>
      <c r="E16" s="167"/>
      <c r="F16" s="167"/>
      <c r="G16" s="167"/>
      <c r="H16" s="167"/>
    </row>
    <row r="17" spans="1:8" ht="27.75" customHeight="1">
      <c r="A17" s="23" t="s">
        <v>17</v>
      </c>
      <c r="B17" s="81"/>
      <c r="C17" s="176"/>
      <c r="D17" s="168"/>
      <c r="E17" s="168"/>
      <c r="F17" s="168"/>
      <c r="G17" s="168"/>
      <c r="H17" s="168"/>
    </row>
    <row r="18" spans="1:8" ht="27.75" customHeight="1">
      <c r="A18" s="20" t="s">
        <v>40</v>
      </c>
      <c r="B18" s="107">
        <f>'Validation décisions'!$B$26*Paramètres!$B$35*Décisions!F15/100</f>
        <v>360000</v>
      </c>
      <c r="C18" s="172"/>
      <c r="D18" s="166"/>
      <c r="E18" s="166"/>
      <c r="F18" s="166"/>
      <c r="G18" s="166"/>
      <c r="H18" s="166"/>
    </row>
    <row r="19" spans="1:8" ht="27.75" customHeight="1">
      <c r="A19" s="20" t="s">
        <v>41</v>
      </c>
      <c r="B19" s="107">
        <f>'Validation décisions'!$B$14*Paramètres!$B$34*Décisions!F16/100</f>
        <v>79200</v>
      </c>
      <c r="C19" s="172"/>
      <c r="D19" s="166"/>
      <c r="E19" s="166"/>
      <c r="F19" s="166"/>
      <c r="G19" s="166"/>
      <c r="H19" s="166"/>
    </row>
    <row r="20" spans="1:8" s="11" customFormat="1" ht="27.75" customHeight="1" thickBot="1">
      <c r="A20" s="9" t="s">
        <v>16</v>
      </c>
      <c r="B20" s="108">
        <f>SUM(B18:B19)</f>
        <v>439200</v>
      </c>
      <c r="C20" s="175"/>
      <c r="D20" s="167"/>
      <c r="E20" s="167"/>
      <c r="F20" s="167"/>
      <c r="G20" s="167"/>
      <c r="H20" s="167"/>
    </row>
    <row r="21" spans="1:8" ht="27.75" customHeight="1">
      <c r="A21" s="24" t="s">
        <v>23</v>
      </c>
      <c r="B21" s="109">
        <f>'Validation décisions'!$B$30*Paramètres!$B$18/Paramètres!$B$20</f>
        <v>21600</v>
      </c>
      <c r="C21" s="172"/>
      <c r="D21" s="166"/>
      <c r="E21" s="166"/>
      <c r="F21" s="166"/>
      <c r="G21" s="166"/>
      <c r="H21" s="166"/>
    </row>
    <row r="22" spans="1:8" ht="27.75" customHeight="1" thickBot="1">
      <c r="A22" s="156" t="s">
        <v>24</v>
      </c>
      <c r="B22" s="160">
        <f>B21+B20+B16+B10</f>
        <v>1267670</v>
      </c>
      <c r="C22" s="177"/>
      <c r="D22" s="169"/>
      <c r="E22" s="169"/>
      <c r="F22" s="169"/>
      <c r="G22" s="169"/>
      <c r="H22" s="169"/>
    </row>
    <row r="23" spans="1:8" ht="27.75" customHeight="1" thickTop="1" thickBot="1">
      <c r="A23" s="162" t="s">
        <v>25</v>
      </c>
      <c r="B23" s="163">
        <f>B8-B22</f>
        <v>116830</v>
      </c>
      <c r="C23" s="178"/>
      <c r="D23" s="170"/>
      <c r="E23" s="170"/>
      <c r="F23" s="170"/>
      <c r="G23" s="170"/>
      <c r="H23" s="170"/>
    </row>
    <row r="24" spans="1:8" ht="27.75" customHeight="1" thickTop="1">
      <c r="A24" s="161" t="s">
        <v>14</v>
      </c>
      <c r="B24" s="100">
        <f>'Validation décisions'!$B$35*Paramètres!$B$49</f>
        <v>0</v>
      </c>
      <c r="C24" s="172"/>
      <c r="D24" s="166"/>
      <c r="E24" s="166"/>
      <c r="F24" s="166"/>
      <c r="G24" s="166"/>
      <c r="H24" s="166"/>
    </row>
    <row r="25" spans="1:8" ht="27.75" customHeight="1">
      <c r="A25" s="12" t="s">
        <v>18</v>
      </c>
      <c r="B25" s="111">
        <f>Décisions!$F$43*Paramètres!$B$46+(Décisions!$F$42+Décisions!$B$27)*Paramètres!$B$47</f>
        <v>18000</v>
      </c>
      <c r="C25" s="172"/>
      <c r="D25" s="166"/>
      <c r="E25" s="166"/>
      <c r="F25" s="166"/>
      <c r="G25" s="166"/>
      <c r="H25" s="166"/>
    </row>
    <row r="26" spans="1:8" ht="27.75" customHeight="1" thickBot="1">
      <c r="A26" s="26" t="s">
        <v>26</v>
      </c>
      <c r="B26" s="112">
        <f>B24-B25</f>
        <v>-18000</v>
      </c>
      <c r="C26" s="172"/>
      <c r="D26" s="166"/>
      <c r="E26" s="166"/>
      <c r="F26" s="166"/>
      <c r="G26" s="166"/>
      <c r="H26" s="166"/>
    </row>
    <row r="27" spans="1:8" s="11" customFormat="1" ht="27.75" customHeight="1">
      <c r="A27" s="25" t="s">
        <v>27</v>
      </c>
      <c r="B27" s="110">
        <f>Px_cession_station*(MAX(0,-Décisions!$C$23)+Décisions!$C$24)</f>
        <v>2000</v>
      </c>
      <c r="C27" s="172"/>
      <c r="D27" s="166"/>
      <c r="E27" s="166"/>
      <c r="F27" s="166"/>
      <c r="G27" s="166"/>
      <c r="H27" s="166"/>
    </row>
    <row r="28" spans="1:8" ht="27.75" customHeight="1">
      <c r="A28" s="12" t="s">
        <v>28</v>
      </c>
      <c r="B28" s="82">
        <f>val_nette_stat_cedees+'Validation décisions'!$K$28</f>
        <v>44400</v>
      </c>
      <c r="C28" s="172"/>
      <c r="D28" s="166"/>
      <c r="E28" s="166"/>
      <c r="F28" s="166"/>
      <c r="G28" s="166"/>
      <c r="H28" s="166"/>
    </row>
    <row r="29" spans="1:8" ht="27.75" customHeight="1" thickBot="1">
      <c r="A29" s="164" t="s">
        <v>29</v>
      </c>
      <c r="B29" s="157">
        <f>B27-B28</f>
        <v>-42400</v>
      </c>
      <c r="C29" s="172"/>
      <c r="D29" s="166"/>
      <c r="E29" s="166"/>
      <c r="F29" s="166"/>
      <c r="G29" s="166"/>
      <c r="H29" s="166"/>
    </row>
    <row r="30" spans="1:8" ht="27.75" customHeight="1" thickTop="1">
      <c r="A30" s="27" t="s">
        <v>30</v>
      </c>
      <c r="B30" s="100">
        <f>B8-B22+B26+B29</f>
        <v>56430</v>
      </c>
      <c r="C30" s="172"/>
      <c r="D30" s="166"/>
      <c r="E30" s="166"/>
      <c r="F30" s="166"/>
      <c r="G30" s="166"/>
      <c r="H30" s="166"/>
    </row>
    <row r="31" spans="1:8" ht="27.75" customHeight="1">
      <c r="A31" s="12" t="s">
        <v>137</v>
      </c>
      <c r="B31" s="111">
        <f>IF(B30&lt;Décisions!$B$49,0,ROUND(($B$30-Décisions!$B$49)*Paramètres!$B$45,0))</f>
        <v>0</v>
      </c>
      <c r="C31" s="172"/>
      <c r="D31" s="166"/>
      <c r="E31" s="166"/>
      <c r="F31" s="166"/>
      <c r="G31" s="166"/>
      <c r="H31" s="166"/>
    </row>
    <row r="32" spans="1:8" ht="27.75" customHeight="1" thickBot="1">
      <c r="A32" s="165" t="s">
        <v>31</v>
      </c>
      <c r="B32" s="160">
        <f>B30-B31</f>
        <v>56430</v>
      </c>
      <c r="C32" s="179"/>
      <c r="D32" s="171"/>
      <c r="E32" s="171"/>
      <c r="F32" s="171"/>
      <c r="G32" s="171"/>
      <c r="H32" s="171"/>
    </row>
    <row r="33" spans="1:2" ht="15" customHeight="1" thickTop="1"/>
    <row r="34" spans="1:2" ht="15" customHeight="1"/>
    <row r="35" spans="1:2">
      <c r="A35" s="14"/>
      <c r="B35" s="22"/>
    </row>
  </sheetData>
  <mergeCells count="1">
    <mergeCell ref="B3:H3"/>
  </mergeCells>
  <phoneticPr fontId="0" type="noConversion"/>
  <pageMargins left="0.28999999999999998" right="0.25" top="0.92" bottom="0.2" header="0.26" footer="0.2"/>
  <pageSetup paperSize="9" scale="87" orientation="portrait" horizontalDpi="4294967293" r:id="rId1"/>
  <headerFooter alignWithMargins="0">
    <oddHeader>&amp;L&amp;"Arial Narrow,Normal"&amp;14&amp;D&amp;C&amp;"Arial Narrow,Gras"&amp;16Support de présentation du compte de résultat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J30"/>
  <sheetViews>
    <sheetView workbookViewId="0">
      <selection activeCell="B22" sqref="B22"/>
    </sheetView>
  </sheetViews>
  <sheetFormatPr baseColWidth="10" defaultColWidth="11.42578125" defaultRowHeight="13.5"/>
  <cols>
    <col min="1" max="1" width="33.85546875" style="4" customWidth="1"/>
    <col min="2" max="2" width="13.28515625" style="4" customWidth="1"/>
    <col min="3" max="3" width="29.28515625" style="4" customWidth="1"/>
    <col min="4" max="4" width="15.42578125" style="4" customWidth="1"/>
    <col min="5" max="16384" width="11.42578125" style="4"/>
  </cols>
  <sheetData>
    <row r="1" spans="1:10" s="1" customFormat="1" ht="30" customHeight="1">
      <c r="A1" s="28" t="s">
        <v>46</v>
      </c>
      <c r="B1" s="72" t="s">
        <v>47</v>
      </c>
      <c r="C1" s="145">
        <f>Décisions!$C$2</f>
        <v>2</v>
      </c>
      <c r="D1" s="73" t="s">
        <v>70</v>
      </c>
      <c r="E1" s="145">
        <f>Décisions!$F$2</f>
        <v>5</v>
      </c>
      <c r="F1" s="73"/>
    </row>
    <row r="2" spans="1:10" s="1" customFormat="1" ht="30" customHeight="1">
      <c r="A2" s="28"/>
      <c r="B2" s="72"/>
      <c r="C2" s="72" t="s">
        <v>48</v>
      </c>
      <c r="D2" s="74">
        <f>an</f>
        <v>5</v>
      </c>
      <c r="E2" s="145"/>
      <c r="F2" s="73"/>
      <c r="G2" s="72"/>
      <c r="H2" s="74"/>
    </row>
    <row r="3" spans="1:10" s="1" customFormat="1" ht="30" customHeight="1">
      <c r="A3" s="28"/>
      <c r="B3" s="72"/>
      <c r="C3" s="72"/>
      <c r="D3" s="74"/>
      <c r="E3" s="180"/>
      <c r="F3" s="73"/>
      <c r="G3" s="72"/>
      <c r="H3" s="74"/>
    </row>
    <row r="4" spans="1:10" s="1" customFormat="1" ht="30" customHeight="1">
      <c r="A4" s="74" t="s">
        <v>134</v>
      </c>
      <c r="B4" s="210" t="s">
        <v>183</v>
      </c>
      <c r="C4" s="210"/>
      <c r="D4" s="210"/>
      <c r="E4" s="210"/>
      <c r="F4" s="210"/>
      <c r="G4" s="210"/>
      <c r="H4" s="210"/>
    </row>
    <row r="5" spans="1:10" s="1" customFormat="1" ht="30" customHeight="1" thickBot="1">
      <c r="A5" s="211" t="s">
        <v>181</v>
      </c>
      <c r="B5" s="211"/>
      <c r="C5" s="211" t="s">
        <v>182</v>
      </c>
      <c r="D5" s="211"/>
    </row>
    <row r="6" spans="1:10" ht="21" customHeight="1">
      <c r="A6" s="69" t="s">
        <v>0</v>
      </c>
      <c r="B6" s="3"/>
      <c r="C6" s="147" t="s">
        <v>5</v>
      </c>
      <c r="D6" s="148"/>
      <c r="J6" s="88">
        <f>B11+B13</f>
        <v>57600</v>
      </c>
    </row>
    <row r="7" spans="1:10" ht="23.25" customHeight="1">
      <c r="A7" s="5" t="s">
        <v>128</v>
      </c>
      <c r="B7" s="6"/>
      <c r="C7" s="12" t="s">
        <v>6</v>
      </c>
      <c r="D7" s="149">
        <f>Décisions!$F$39+Décisions!$B$29</f>
        <v>20000</v>
      </c>
      <c r="J7" s="88">
        <f>D10+D12+D13</f>
        <v>89858.080000000016</v>
      </c>
    </row>
    <row r="8" spans="1:10" ht="23.25" customHeight="1">
      <c r="A8" s="7" t="s">
        <v>42</v>
      </c>
      <c r="B8" s="6">
        <f>Px_achat_station*'Validation décisions'!$Z$37</f>
        <v>108000</v>
      </c>
      <c r="C8" s="12" t="s">
        <v>7</v>
      </c>
      <c r="D8" s="149">
        <f>Décisions!$F$40+Décisions!$F$41</f>
        <v>-233353</v>
      </c>
    </row>
    <row r="9" spans="1:10" ht="23.25" customHeight="1">
      <c r="A9" s="8" t="s">
        <v>146</v>
      </c>
      <c r="B9" s="6">
        <f>amort_stat_restantes</f>
        <v>50400</v>
      </c>
      <c r="C9" s="12" t="s">
        <v>8</v>
      </c>
      <c r="D9" s="149">
        <f>' Compte de Résultats'!$B$32</f>
        <v>56430</v>
      </c>
    </row>
    <row r="10" spans="1:10" ht="23.25" customHeight="1" thickBot="1">
      <c r="A10" s="8" t="s">
        <v>43</v>
      </c>
      <c r="B10" s="6">
        <f>B8-B9</f>
        <v>57600</v>
      </c>
      <c r="C10" s="17" t="s">
        <v>9</v>
      </c>
      <c r="D10" s="150">
        <f>SUM(D7:D9)</f>
        <v>-156923</v>
      </c>
    </row>
    <row r="11" spans="1:10" s="11" customFormat="1" ht="23.25" customHeight="1" thickBot="1">
      <c r="A11" s="17" t="s">
        <v>44</v>
      </c>
      <c r="B11" s="10">
        <f>B10</f>
        <v>57600</v>
      </c>
      <c r="C11" s="15" t="s">
        <v>10</v>
      </c>
      <c r="D11" s="148"/>
    </row>
    <row r="12" spans="1:10" ht="23.25" customHeight="1">
      <c r="A12" s="16" t="s">
        <v>1</v>
      </c>
      <c r="B12" s="2"/>
      <c r="C12" s="12" t="s">
        <v>11</v>
      </c>
      <c r="D12" s="149">
        <f>Décisions!$F$42-Décisions!$B$46+Décisions!$F$42*Paramètres!$B$47+Emprunts!$F$9</f>
        <v>246781.08000000002</v>
      </c>
    </row>
    <row r="13" spans="1:10" ht="23.25" customHeight="1">
      <c r="A13" s="12" t="s">
        <v>32</v>
      </c>
      <c r="B13" s="87">
        <f>Décisions!$B$28</f>
        <v>0</v>
      </c>
      <c r="C13" s="12" t="s">
        <v>33</v>
      </c>
      <c r="D13" s="151">
        <f>' Compte de Résultats'!$B$31</f>
        <v>0</v>
      </c>
    </row>
    <row r="14" spans="1:10" ht="23.25" customHeight="1">
      <c r="A14" s="12" t="s">
        <v>2</v>
      </c>
      <c r="B14" s="87">
        <f>IF(J7&gt;J6,J7-J6,0)</f>
        <v>32258.080000000016</v>
      </c>
      <c r="C14" s="12" t="s">
        <v>12</v>
      </c>
      <c r="D14" s="149">
        <f>IF(J6&gt;J7,J6-J7,0)</f>
        <v>0</v>
      </c>
    </row>
    <row r="15" spans="1:10" ht="23.25" customHeight="1" thickBot="1">
      <c r="A15" s="17" t="s">
        <v>3</v>
      </c>
      <c r="B15" s="89">
        <f>B13+B14</f>
        <v>32258.080000000016</v>
      </c>
      <c r="C15" s="17" t="s">
        <v>45</v>
      </c>
      <c r="D15" s="152">
        <f>SUM(D12:D14)</f>
        <v>246781.08000000002</v>
      </c>
    </row>
    <row r="16" spans="1:10" ht="23.25" customHeight="1" thickBot="1">
      <c r="A16" s="13" t="s">
        <v>4</v>
      </c>
      <c r="B16" s="89">
        <f>B11+B15</f>
        <v>89858.080000000016</v>
      </c>
      <c r="C16" s="18" t="s">
        <v>13</v>
      </c>
      <c r="D16" s="150">
        <f>D10+D15</f>
        <v>89858.080000000016</v>
      </c>
    </row>
    <row r="17" spans="1:1" ht="23.25" customHeight="1"/>
    <row r="18" spans="1:1" ht="23.25" customHeight="1"/>
    <row r="19" spans="1:1" s="11" customFormat="1" ht="23.25" customHeight="1"/>
    <row r="20" spans="1:1" ht="23.25" customHeight="1"/>
    <row r="21" spans="1:1" ht="23.25" customHeight="1"/>
    <row r="22" spans="1:1" ht="23.25" customHeight="1"/>
    <row r="23" spans="1:1" s="11" customFormat="1" ht="23.25" customHeight="1"/>
    <row r="24" spans="1:1" ht="23.25" customHeight="1"/>
    <row r="25" spans="1:1" ht="23.25" customHeight="1"/>
    <row r="26" spans="1:1" ht="23.25" customHeight="1"/>
    <row r="27" spans="1:1" ht="23.25" customHeight="1"/>
    <row r="28" spans="1:1" ht="15" customHeight="1"/>
    <row r="29" spans="1:1" ht="15" customHeight="1"/>
    <row r="30" spans="1:1">
      <c r="A30" s="14"/>
    </row>
  </sheetData>
  <mergeCells count="3">
    <mergeCell ref="A5:B5"/>
    <mergeCell ref="C5:D5"/>
    <mergeCell ref="B4:H4"/>
  </mergeCells>
  <phoneticPr fontId="0" type="noConversion"/>
  <pageMargins left="0.27559055118110237" right="0.23622047244094491" top="1.02" bottom="0.19685039370078741" header="0.19685039370078741" footer="0.19685039370078741"/>
  <pageSetup paperSize="9" scale="87" orientation="portrait" horizontalDpi="4294967293" r:id="rId1"/>
  <headerFooter alignWithMargins="0">
    <oddHeader>&amp;L&amp;"Arial Narrow,Normal"&amp;14&amp;D&amp;C&amp;"Arial Narrow,Gras"&amp;16Support de présentation du bilan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H22"/>
  <sheetViews>
    <sheetView workbookViewId="0">
      <selection activeCell="B3" sqref="B3"/>
    </sheetView>
  </sheetViews>
  <sheetFormatPr baseColWidth="10" defaultRowHeight="12.75"/>
  <cols>
    <col min="1" max="1" width="24.42578125" customWidth="1"/>
    <col min="2" max="2" width="15.140625" customWidth="1"/>
    <col min="4" max="4" width="13.140625" customWidth="1"/>
    <col min="5" max="5" width="16.140625" customWidth="1"/>
    <col min="6" max="6" width="19" customWidth="1"/>
  </cols>
  <sheetData>
    <row r="1" spans="1:6" ht="24">
      <c r="A1" s="90" t="s">
        <v>150</v>
      </c>
    </row>
    <row r="3" spans="1:6" ht="13.5">
      <c r="A3" t="s">
        <v>68</v>
      </c>
      <c r="B3" s="54">
        <f>Décisions!$B$27</f>
        <v>300000</v>
      </c>
      <c r="D3" s="92" t="s">
        <v>151</v>
      </c>
      <c r="E3" s="93">
        <f>Paramètres!$B$47</f>
        <v>0.06</v>
      </c>
    </row>
    <row r="4" spans="1:6">
      <c r="D4" s="92" t="s">
        <v>152</v>
      </c>
      <c r="E4" s="94">
        <f>Paramètres!$B$48</f>
        <v>5</v>
      </c>
    </row>
    <row r="6" spans="1:6">
      <c r="A6" t="s">
        <v>153</v>
      </c>
      <c r="B6" s="91">
        <f>ROUND(-PMT($E$3,E4,B3),2)</f>
        <v>71218.92</v>
      </c>
    </row>
    <row r="8" spans="1:6" s="64" customFormat="1" ht="15">
      <c r="A8" s="97" t="s">
        <v>48</v>
      </c>
      <c r="B8" s="97" t="s">
        <v>154</v>
      </c>
      <c r="C8" s="97" t="s">
        <v>153</v>
      </c>
      <c r="D8" s="97" t="s">
        <v>155</v>
      </c>
      <c r="E8" s="97" t="s">
        <v>146</v>
      </c>
      <c r="F8" s="97" t="s">
        <v>156</v>
      </c>
    </row>
    <row r="9" spans="1:6" ht="15">
      <c r="A9" s="95">
        <v>1</v>
      </c>
      <c r="B9" s="96">
        <f>B3</f>
        <v>300000</v>
      </c>
      <c r="C9" s="96">
        <f>$B$6</f>
        <v>71218.92</v>
      </c>
      <c r="D9" s="96">
        <f>ROUND($E$3*B9,2)</f>
        <v>18000</v>
      </c>
      <c r="E9" s="96">
        <f>C9-D9</f>
        <v>53218.92</v>
      </c>
      <c r="F9" s="96">
        <f>B9-E9</f>
        <v>246781.08000000002</v>
      </c>
    </row>
    <row r="10" spans="1:6" ht="15">
      <c r="A10" s="95">
        <v>2</v>
      </c>
      <c r="B10" s="96">
        <f>F9</f>
        <v>246781.08000000002</v>
      </c>
      <c r="C10" s="96">
        <f>$B$6</f>
        <v>71218.92</v>
      </c>
      <c r="D10" s="96">
        <f>ROUND($E$3*B10,2)</f>
        <v>14806.86</v>
      </c>
      <c r="E10" s="96">
        <f>C10-D10</f>
        <v>56412.06</v>
      </c>
      <c r="F10" s="96">
        <f>B10-E10</f>
        <v>190369.02000000002</v>
      </c>
    </row>
    <row r="11" spans="1:6" ht="15">
      <c r="A11" s="95">
        <v>3</v>
      </c>
      <c r="B11" s="96">
        <f t="shared" ref="B11:B13" si="0">F10</f>
        <v>190369.02000000002</v>
      </c>
      <c r="C11" s="96">
        <f t="shared" ref="C11:C13" si="1">$B$6</f>
        <v>71218.92</v>
      </c>
      <c r="D11" s="96">
        <f t="shared" ref="D11:D13" si="2">ROUND($E$3*B11,2)</f>
        <v>11422.14</v>
      </c>
      <c r="E11" s="96">
        <f t="shared" ref="E11:E13" si="3">C11-D11</f>
        <v>59796.78</v>
      </c>
      <c r="F11" s="96">
        <f t="shared" ref="F11:F13" si="4">B11-E11</f>
        <v>130572.24000000002</v>
      </c>
    </row>
    <row r="12" spans="1:6" ht="15">
      <c r="A12" s="95">
        <v>4</v>
      </c>
      <c r="B12" s="96">
        <f t="shared" si="0"/>
        <v>130572.24000000002</v>
      </c>
      <c r="C12" s="96">
        <f t="shared" si="1"/>
        <v>71218.92</v>
      </c>
      <c r="D12" s="96">
        <f t="shared" si="2"/>
        <v>7834.33</v>
      </c>
      <c r="E12" s="96">
        <f t="shared" si="3"/>
        <v>63384.59</v>
      </c>
      <c r="F12" s="96">
        <f t="shared" si="4"/>
        <v>67187.650000000023</v>
      </c>
    </row>
    <row r="13" spans="1:6" ht="15">
      <c r="A13" s="95">
        <v>5</v>
      </c>
      <c r="B13" s="96">
        <f t="shared" si="0"/>
        <v>67187.650000000023</v>
      </c>
      <c r="C13" s="96">
        <f t="shared" si="1"/>
        <v>71218.92</v>
      </c>
      <c r="D13" s="96">
        <f t="shared" si="2"/>
        <v>4031.26</v>
      </c>
      <c r="E13" s="96">
        <f t="shared" si="3"/>
        <v>67187.66</v>
      </c>
      <c r="F13" s="96">
        <f t="shared" si="4"/>
        <v>-9.9999999802093953E-3</v>
      </c>
    </row>
    <row r="18" spans="5:8">
      <c r="E18" s="80"/>
      <c r="F18" s="80"/>
      <c r="G18" s="80"/>
      <c r="H18" s="80"/>
    </row>
    <row r="19" spans="5:8">
      <c r="E19" s="80"/>
      <c r="F19" s="80"/>
      <c r="G19" s="80"/>
      <c r="H19" s="80"/>
    </row>
    <row r="20" spans="5:8">
      <c r="E20" s="80"/>
      <c r="F20" s="80"/>
      <c r="G20" s="80"/>
      <c r="H20" s="80"/>
    </row>
    <row r="21" spans="5:8">
      <c r="E21" s="80"/>
      <c r="F21" s="80"/>
      <c r="G21" s="80"/>
      <c r="H21" s="80"/>
    </row>
    <row r="22" spans="5:8">
      <c r="E22" s="80"/>
      <c r="F22" s="80"/>
      <c r="G22" s="80"/>
      <c r="H22" s="8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P36"/>
  <sheetViews>
    <sheetView zoomScaleNormal="100" workbookViewId="0">
      <selection activeCell="G18" sqref="G17:G18"/>
    </sheetView>
  </sheetViews>
  <sheetFormatPr baseColWidth="10" defaultRowHeight="12.75"/>
  <cols>
    <col min="1" max="1" width="34" bestFit="1" customWidth="1"/>
    <col min="4" max="4" width="12.42578125" bestFit="1" customWidth="1"/>
    <col min="9" max="9" width="22.42578125" bestFit="1" customWidth="1"/>
  </cols>
  <sheetData>
    <row r="1" spans="1:16" ht="18">
      <c r="A1" s="28" t="s">
        <v>46</v>
      </c>
      <c r="B1" s="72" t="s">
        <v>47</v>
      </c>
      <c r="C1" s="115">
        <f>Décisions!$C$2</f>
        <v>2</v>
      </c>
      <c r="D1" s="73" t="s">
        <v>70</v>
      </c>
      <c r="E1" s="115">
        <f>Décisions!$F$2</f>
        <v>5</v>
      </c>
      <c r="F1" s="73"/>
      <c r="G1" s="72" t="s">
        <v>48</v>
      </c>
      <c r="H1" s="74">
        <f>an</f>
        <v>5</v>
      </c>
      <c r="I1" s="74"/>
    </row>
    <row r="2" spans="1:16" ht="18">
      <c r="A2" s="71"/>
      <c r="B2" s="72"/>
      <c r="C2" s="115"/>
      <c r="D2" s="73"/>
      <c r="E2" s="115"/>
      <c r="F2" s="73"/>
      <c r="G2" s="72"/>
      <c r="H2" s="74"/>
      <c r="I2" s="74"/>
    </row>
    <row r="3" spans="1:16" ht="18">
      <c r="A3" s="74" t="s">
        <v>134</v>
      </c>
      <c r="B3" s="73" t="s">
        <v>185</v>
      </c>
      <c r="C3" s="73"/>
      <c r="D3" s="73"/>
      <c r="E3" s="73"/>
      <c r="F3" s="73"/>
      <c r="G3" s="73"/>
      <c r="H3" s="73"/>
      <c r="I3" s="73"/>
    </row>
    <row r="4" spans="1:16" ht="13.5" thickBot="1"/>
    <row r="5" spans="1:16" ht="22.5" customHeight="1" thickBot="1">
      <c r="B5" s="116">
        <v>1</v>
      </c>
      <c r="C5" s="117">
        <v>2</v>
      </c>
      <c r="D5" s="118">
        <v>3</v>
      </c>
      <c r="E5" s="119">
        <v>4</v>
      </c>
      <c r="F5" s="120">
        <v>5</v>
      </c>
      <c r="G5" s="121">
        <v>6</v>
      </c>
      <c r="J5" s="70" t="s">
        <v>16</v>
      </c>
      <c r="K5" s="116">
        <v>1</v>
      </c>
      <c r="L5" s="117">
        <v>2</v>
      </c>
      <c r="M5" s="118">
        <v>3</v>
      </c>
      <c r="N5" s="119">
        <v>4</v>
      </c>
      <c r="O5" s="120">
        <v>5</v>
      </c>
      <c r="P5" s="121">
        <v>6</v>
      </c>
    </row>
    <row r="6" spans="1:16" ht="16.5">
      <c r="A6" s="142" t="s">
        <v>158</v>
      </c>
      <c r="B6">
        <f>'Validation décisions'!J4</f>
        <v>145</v>
      </c>
      <c r="C6">
        <f>'Validation décisions'!K4</f>
        <v>1150</v>
      </c>
      <c r="D6">
        <f>'Validation décisions'!L4</f>
        <v>400</v>
      </c>
      <c r="E6">
        <f>'Validation décisions'!M4</f>
        <v>4000</v>
      </c>
      <c r="F6">
        <f>'Validation décisions'!N4</f>
        <v>3500</v>
      </c>
      <c r="G6">
        <f>'Validation décisions'!O4</f>
        <v>12000</v>
      </c>
      <c r="I6" s="124" t="s">
        <v>112</v>
      </c>
      <c r="J6">
        <f>SUM(K6:P6)</f>
        <v>1855</v>
      </c>
      <c r="K6">
        <f>'Validation décisions'!J7</f>
        <v>1200</v>
      </c>
      <c r="L6">
        <f>'Validation décisions'!K7</f>
        <v>220</v>
      </c>
      <c r="M6">
        <f>'Validation décisions'!L7</f>
        <v>220</v>
      </c>
      <c r="N6">
        <f>'Validation décisions'!M7</f>
        <v>200</v>
      </c>
      <c r="O6">
        <f>'Validation décisions'!N7</f>
        <v>13</v>
      </c>
      <c r="P6">
        <f>'Validation décisions'!O7</f>
        <v>2</v>
      </c>
    </row>
    <row r="8" spans="1:16" ht="16.5">
      <c r="A8" s="142" t="s">
        <v>179</v>
      </c>
      <c r="B8">
        <f>IF(B6&gt;0,Paramètres!F4*VLOOKUP('Validation décisions'!J5,tab_niveau,B5+1,)/100,"")</f>
        <v>24</v>
      </c>
      <c r="C8">
        <f>IF(C6&gt;0,Paramètres!G4*VLOOKUP('Validation décisions'!K5,tab_niveau,C5+1,)/100,"")</f>
        <v>700</v>
      </c>
      <c r="D8">
        <f>IF(D6&gt;0,Paramètres!H4*VLOOKUP('Validation décisions'!L5,tab_niveau,D5+1,)/100,"")</f>
        <v>0</v>
      </c>
      <c r="E8">
        <f>IF(E6&gt;0,Paramètres!I4*VLOOKUP('Validation décisions'!M5,tab_niveau,E5+1,)/100,"")</f>
        <v>2100</v>
      </c>
      <c r="F8">
        <f>IF(F6&gt;0,Paramètres!J4*VLOOKUP('Validation décisions'!N5,tab_niveau,F5+1,)/100,"")</f>
        <v>840</v>
      </c>
      <c r="G8">
        <f>IF(G6&gt;0,Paramètres!K4*VLOOKUP('Validation décisions'!O5,tab_niveau,G5+1,)/100,"")</f>
        <v>7000</v>
      </c>
      <c r="I8" s="122" t="s">
        <v>159</v>
      </c>
    </row>
    <row r="9" spans="1:16" ht="16.5">
      <c r="A9" s="142" t="s">
        <v>201</v>
      </c>
      <c r="B9" s="137">
        <f>IF(B6&gt;0,'Validation décisions'!J8/K6,"")</f>
        <v>5.833333333333333</v>
      </c>
      <c r="C9" s="137">
        <f>IF(C6&gt;0,'Validation décisions'!K8/L6,"")</f>
        <v>31.818181818181817</v>
      </c>
      <c r="D9" s="137">
        <f>IF(D6&gt;0,'Validation décisions'!L8/M6,"")</f>
        <v>22.727272727272727</v>
      </c>
      <c r="E9" s="137">
        <f>IF(E6&gt;0,'Validation décisions'!M8/N6,"")</f>
        <v>35</v>
      </c>
      <c r="F9" s="137">
        <f>IF(F6&gt;0,'Validation décisions'!N8/O6,"")</f>
        <v>538.46153846153845</v>
      </c>
      <c r="G9" s="137">
        <f>IF(G6&gt;0,'Validation décisions'!O8/P6,"")</f>
        <v>2500</v>
      </c>
      <c r="I9" s="122" t="s">
        <v>160</v>
      </c>
    </row>
    <row r="10" spans="1:16" ht="16.5">
      <c r="A10" s="142" t="s">
        <v>160</v>
      </c>
      <c r="B10" s="131">
        <f t="shared" ref="B10:G10" si="0">IF(B6&gt;0,$J$14/$J$6,"")</f>
        <v>49.568733153638817</v>
      </c>
      <c r="C10" s="131">
        <f t="shared" si="0"/>
        <v>49.568733153638817</v>
      </c>
      <c r="D10" s="131">
        <f t="shared" si="0"/>
        <v>49.568733153638817</v>
      </c>
      <c r="E10" s="131">
        <f t="shared" si="0"/>
        <v>49.568733153638817</v>
      </c>
      <c r="F10" s="131">
        <f t="shared" si="0"/>
        <v>49.568733153638817</v>
      </c>
      <c r="G10" s="131">
        <f t="shared" si="0"/>
        <v>49.568733153638817</v>
      </c>
      <c r="I10" s="127" t="s">
        <v>162</v>
      </c>
      <c r="J10" s="129" t="s">
        <v>163</v>
      </c>
    </row>
    <row r="11" spans="1:16" ht="16.5">
      <c r="A11" s="142" t="s">
        <v>164</v>
      </c>
      <c r="B11" s="137">
        <f t="shared" ref="B11:G11" si="1">IF(B6&gt;0,K21/K6,"")</f>
        <v>75.156794425087114</v>
      </c>
      <c r="C11" s="137">
        <f t="shared" si="1"/>
        <v>250.52264808362369</v>
      </c>
      <c r="D11" s="137">
        <f t="shared" si="1"/>
        <v>300.62717770034845</v>
      </c>
      <c r="E11" s="137">
        <f t="shared" si="1"/>
        <v>939.45993031358887</v>
      </c>
      <c r="F11" s="137">
        <f t="shared" si="1"/>
        <v>1503.1358885017423</v>
      </c>
      <c r="G11" s="137">
        <f t="shared" si="1"/>
        <v>6263.0662020905929</v>
      </c>
      <c r="I11" s="138" t="s">
        <v>166</v>
      </c>
      <c r="J11" s="134">
        <f>SUM(K11:P11)</f>
        <v>0.99999999999999978</v>
      </c>
      <c r="K11" s="130">
        <f>K6/$J$6</f>
        <v>0.64690026954177893</v>
      </c>
      <c r="L11" s="130">
        <f t="shared" ref="L11:P11" si="2">L6/$J$6</f>
        <v>0.11859838274932614</v>
      </c>
      <c r="M11" s="130">
        <f t="shared" si="2"/>
        <v>0.11859838274932614</v>
      </c>
      <c r="N11" s="130">
        <f t="shared" si="2"/>
        <v>0.1078167115902965</v>
      </c>
      <c r="O11" s="130">
        <f t="shared" si="2"/>
        <v>7.0080862533692719E-3</v>
      </c>
      <c r="P11" s="130">
        <f t="shared" si="2"/>
        <v>1.0781671159029651E-3</v>
      </c>
    </row>
    <row r="12" spans="1:16" ht="16.5">
      <c r="A12" s="142" t="s">
        <v>168</v>
      </c>
      <c r="B12" s="137">
        <f t="shared" ref="B12:G12" si="3">IF(B6&gt;0,K27/K6,"")</f>
        <v>6.1149825783972123</v>
      </c>
      <c r="C12" s="137">
        <f t="shared" si="3"/>
        <v>20.383275261324041</v>
      </c>
      <c r="D12" s="137">
        <f t="shared" si="3"/>
        <v>24.459930313588849</v>
      </c>
      <c r="E12" s="137">
        <f t="shared" si="3"/>
        <v>76.437282229965149</v>
      </c>
      <c r="F12" s="137">
        <f t="shared" si="3"/>
        <v>122.29965156794425</v>
      </c>
      <c r="G12" s="137">
        <f t="shared" si="3"/>
        <v>509.58188153310107</v>
      </c>
      <c r="I12" s="123" t="s">
        <v>161</v>
      </c>
      <c r="J12" s="80">
        <f>' Compte de Résultats'!$B$19</f>
        <v>79200</v>
      </c>
    </row>
    <row r="13" spans="1:16" s="128" customFormat="1" ht="16.5">
      <c r="A13" s="142" t="s">
        <v>171</v>
      </c>
      <c r="B13" s="137">
        <f t="shared" ref="B13:G13" si="4">IF(B6&gt;0,K35/K6,"")</f>
        <v>4.5557963163596957</v>
      </c>
      <c r="C13" s="137">
        <f t="shared" si="4"/>
        <v>36.132177681473458</v>
      </c>
      <c r="D13" s="137">
        <f t="shared" si="4"/>
        <v>12.567713976164681</v>
      </c>
      <c r="E13" s="137">
        <f t="shared" si="4"/>
        <v>125.67713976164681</v>
      </c>
      <c r="F13" s="137">
        <f t="shared" si="4"/>
        <v>109.96749729144095</v>
      </c>
      <c r="G13" s="137">
        <f t="shared" si="4"/>
        <v>377.0314192849404</v>
      </c>
      <c r="I13" s="123" t="s">
        <v>39</v>
      </c>
      <c r="J13" s="80">
        <f>Décisions!$I$16</f>
        <v>12750</v>
      </c>
      <c r="K13"/>
      <c r="L13"/>
      <c r="M13"/>
      <c r="N13"/>
      <c r="O13"/>
      <c r="P13"/>
    </row>
    <row r="14" spans="1:16">
      <c r="A14" s="43"/>
      <c r="I14" s="125" t="s">
        <v>16</v>
      </c>
      <c r="J14" s="126">
        <f>SUM(J12:J13)</f>
        <v>91950</v>
      </c>
      <c r="K14" s="132"/>
      <c r="L14" s="132"/>
      <c r="M14" s="132"/>
      <c r="N14" s="132"/>
      <c r="O14" s="132"/>
      <c r="P14" s="132"/>
    </row>
    <row r="15" spans="1:16" ht="16.5">
      <c r="A15" s="142" t="s">
        <v>176</v>
      </c>
      <c r="B15" s="137">
        <f>IF(B6&gt;0,B8+B9+B10+B11+B12+B13,"")</f>
        <v>165.22963980681618</v>
      </c>
      <c r="C15" s="137">
        <f t="shared" ref="C15:G15" si="5">IF(C6&gt;0,C8+C9+C10+C11+C12+C13,"")</f>
        <v>1088.4250159982419</v>
      </c>
      <c r="D15" s="137">
        <f t="shared" si="5"/>
        <v>409.95082787101353</v>
      </c>
      <c r="E15" s="137">
        <f t="shared" si="5"/>
        <v>3326.1430854588393</v>
      </c>
      <c r="F15" s="137">
        <f t="shared" si="5"/>
        <v>3163.4333089763049</v>
      </c>
      <c r="G15" s="137">
        <f t="shared" si="5"/>
        <v>16699.248236062274</v>
      </c>
      <c r="I15" s="122" t="s">
        <v>164</v>
      </c>
    </row>
    <row r="16" spans="1:16" ht="16.5">
      <c r="A16" s="142"/>
      <c r="I16" s="127" t="s">
        <v>162</v>
      </c>
      <c r="J16" s="127" t="s">
        <v>165</v>
      </c>
    </row>
    <row r="17" spans="1:16" ht="16.5">
      <c r="A17" s="142" t="s">
        <v>177</v>
      </c>
      <c r="B17" s="137">
        <f t="shared" ref="B17:G17" si="6">IF(B6&gt;0,B6-B15,"")</f>
        <v>-20.229639806816181</v>
      </c>
      <c r="C17" s="137">
        <f t="shared" si="6"/>
        <v>61.574984001758139</v>
      </c>
      <c r="D17" s="137">
        <f t="shared" si="6"/>
        <v>-9.9508278710135301</v>
      </c>
      <c r="E17" s="137">
        <f t="shared" si="6"/>
        <v>673.85691454116068</v>
      </c>
      <c r="F17" s="137">
        <f t="shared" si="6"/>
        <v>336.56669102369506</v>
      </c>
      <c r="G17" s="137">
        <f t="shared" si="6"/>
        <v>-4699.2482360622744</v>
      </c>
      <c r="I17" s="127" t="s">
        <v>167</v>
      </c>
      <c r="J17" s="136">
        <f t="shared" ref="J17:J18" si="7">SUM(K17:P17)</f>
        <v>10332</v>
      </c>
      <c r="K17" s="127">
        <f>K6*Paramètres!F17*VLOOKUP('Validation décisions'!J6,tab_temps,'Marge nette d''expl. '!K5+1,)/100</f>
        <v>2160</v>
      </c>
      <c r="L17" s="127">
        <f>L6*Paramètres!G17*VLOOKUP('Validation décisions'!K6,tab_temps,'Marge nette d''expl. '!L5+1,)/100</f>
        <v>1320</v>
      </c>
      <c r="M17" s="127">
        <f>M6*Paramètres!H17*VLOOKUP('Validation décisions'!L6,tab_temps,'Marge nette d''expl. '!M5+1,)/100</f>
        <v>1584</v>
      </c>
      <c r="N17" s="127">
        <f>N6*Paramètres!I17*VLOOKUP('Validation décisions'!M6,tab_temps,'Marge nette d''expl. '!N5+1,)/100</f>
        <v>4500</v>
      </c>
      <c r="O17" s="127">
        <f>O6*Paramètres!J17*VLOOKUP('Validation décisions'!N6,tab_temps,'Marge nette d''expl. '!O5+1,)/100</f>
        <v>468</v>
      </c>
      <c r="P17" s="127">
        <f>P6*Paramètres!K17*VLOOKUP('Validation décisions'!O6,tab_temps,'Marge nette d''expl. '!P5+1,)/100</f>
        <v>300</v>
      </c>
    </row>
    <row r="18" spans="1:16" ht="16.5">
      <c r="A18" s="142" t="s">
        <v>178</v>
      </c>
      <c r="B18" s="141">
        <f t="shared" ref="B18:G18" si="8">IF(B6&gt;0,B17/B6,"")</f>
        <v>-0.13951475728838744</v>
      </c>
      <c r="C18" s="141">
        <f t="shared" si="8"/>
        <v>5.3543464349354905E-2</v>
      </c>
      <c r="D18" s="141">
        <f t="shared" si="8"/>
        <v>-2.4877069677533826E-2</v>
      </c>
      <c r="E18" s="141">
        <f t="shared" si="8"/>
        <v>0.16846422863529018</v>
      </c>
      <c r="F18" s="141">
        <f t="shared" si="8"/>
        <v>9.6161911721055732E-2</v>
      </c>
      <c r="G18" s="141">
        <f t="shared" si="8"/>
        <v>-0.39160401967185621</v>
      </c>
      <c r="I18" s="133" t="s">
        <v>166</v>
      </c>
      <c r="J18" s="134">
        <f t="shared" si="7"/>
        <v>0.99999999999999989</v>
      </c>
      <c r="K18" s="135">
        <f>K17/$J$17</f>
        <v>0.20905923344947736</v>
      </c>
      <c r="L18" s="135">
        <f t="shared" ref="L18:P18" si="9">L17/$J$17</f>
        <v>0.12775842044134728</v>
      </c>
      <c r="M18" s="135">
        <f t="shared" si="9"/>
        <v>0.15331010452961671</v>
      </c>
      <c r="N18" s="135">
        <f t="shared" si="9"/>
        <v>0.43554006968641112</v>
      </c>
      <c r="O18" s="135">
        <f t="shared" si="9"/>
        <v>4.5296167247386762E-2</v>
      </c>
      <c r="P18" s="135">
        <f t="shared" si="9"/>
        <v>2.9036004645760744E-2</v>
      </c>
    </row>
    <row r="19" spans="1:16" s="127" customFormat="1" ht="13.5">
      <c r="A19"/>
      <c r="B19"/>
      <c r="C19"/>
      <c r="D19"/>
      <c r="E19"/>
      <c r="F19"/>
      <c r="G19"/>
      <c r="I19" s="123" t="s">
        <v>161</v>
      </c>
      <c r="J19" s="80">
        <f>' Compte de Résultats'!$B$18</f>
        <v>360000</v>
      </c>
      <c r="K19"/>
      <c r="L19"/>
      <c r="M19"/>
      <c r="N19"/>
      <c r="O19"/>
      <c r="P19"/>
    </row>
    <row r="20" spans="1:16" s="127" customFormat="1" ht="13.5">
      <c r="A20"/>
      <c r="B20"/>
      <c r="C20"/>
      <c r="D20"/>
      <c r="E20"/>
      <c r="F20"/>
      <c r="G20"/>
      <c r="I20" s="123" t="s">
        <v>39</v>
      </c>
      <c r="J20" s="80">
        <f>Décisions!$I$15</f>
        <v>71400</v>
      </c>
      <c r="K20"/>
      <c r="L20"/>
      <c r="M20"/>
      <c r="N20"/>
      <c r="O20"/>
      <c r="P20"/>
    </row>
    <row r="21" spans="1:16" ht="16.5">
      <c r="A21" s="142" t="s">
        <v>180</v>
      </c>
      <c r="I21" s="125" t="s">
        <v>16</v>
      </c>
      <c r="J21" s="126">
        <f>SUM(J19:J20)</f>
        <v>431400</v>
      </c>
      <c r="K21" s="137">
        <f>$J$21*K18</f>
        <v>90188.153310104535</v>
      </c>
      <c r="L21" s="137">
        <f t="shared" ref="L21:P21" si="10">$J$21*L18</f>
        <v>55114.982578397212</v>
      </c>
      <c r="M21" s="137">
        <f t="shared" si="10"/>
        <v>66137.979094076654</v>
      </c>
      <c r="N21" s="137">
        <f t="shared" si="10"/>
        <v>187891.98606271777</v>
      </c>
      <c r="O21" s="137">
        <f t="shared" si="10"/>
        <v>19540.766550522651</v>
      </c>
      <c r="P21" s="137">
        <f t="shared" si="10"/>
        <v>12526.132404181186</v>
      </c>
    </row>
    <row r="22" spans="1:16" ht="16.5">
      <c r="A22" s="142" t="s">
        <v>179</v>
      </c>
      <c r="B22" s="141">
        <f t="shared" ref="B22:G22" si="11">IF(B$6&gt;0,B8/B$15,"")</f>
        <v>0.14525238951110958</v>
      </c>
      <c r="C22" s="141">
        <f t="shared" si="11"/>
        <v>0.64313112039050258</v>
      </c>
      <c r="D22" s="141">
        <f t="shared" si="11"/>
        <v>0</v>
      </c>
      <c r="E22" s="141">
        <f t="shared" si="11"/>
        <v>0.63136189455611058</v>
      </c>
      <c r="F22" s="141">
        <f t="shared" si="11"/>
        <v>0.26553428441702354</v>
      </c>
      <c r="G22" s="141">
        <f t="shared" si="11"/>
        <v>0.41918054639629804</v>
      </c>
      <c r="I22" s="122" t="s">
        <v>168</v>
      </c>
    </row>
    <row r="23" spans="1:16" ht="16.5">
      <c r="A23" s="142" t="s">
        <v>201</v>
      </c>
      <c r="B23" s="141">
        <f>IF(B$6&gt;0,B9/B$15,"")</f>
        <v>3.5304400228394685E-2</v>
      </c>
      <c r="C23" s="141">
        <f t="shared" ref="C23:G23" si="12">IF(C$6&gt;0,C9/C$15,"")</f>
        <v>2.9233232745022843E-2</v>
      </c>
      <c r="D23" s="141">
        <f t="shared" si="12"/>
        <v>5.5439021419475244E-2</v>
      </c>
      <c r="E23" s="141">
        <f t="shared" si="12"/>
        <v>1.0522698242601844E-2</v>
      </c>
      <c r="F23" s="141">
        <f t="shared" si="12"/>
        <v>0.17021428488270737</v>
      </c>
      <c r="G23" s="141">
        <f t="shared" si="12"/>
        <v>0.14970733799867786</v>
      </c>
      <c r="I23" s="127" t="s">
        <v>162</v>
      </c>
      <c r="J23" s="127" t="s">
        <v>165</v>
      </c>
    </row>
    <row r="24" spans="1:16" ht="16.5">
      <c r="A24" s="142" t="s">
        <v>160</v>
      </c>
      <c r="B24" s="141">
        <f t="shared" ref="B24:G27" si="13">IF(B$6&gt;0,B10/B$15,"")</f>
        <v>0.29999903898352487</v>
      </c>
      <c r="C24" s="141">
        <f t="shared" si="13"/>
        <v>4.5541706984910835E-2</v>
      </c>
      <c r="D24" s="141">
        <f t="shared" si="13"/>
        <v>0.12091385059779673</v>
      </c>
      <c r="E24" s="141">
        <f t="shared" si="13"/>
        <v>1.4902766321251282E-2</v>
      </c>
      <c r="F24" s="141">
        <f t="shared" si="13"/>
        <v>1.5669283437392705E-2</v>
      </c>
      <c r="G24" s="141">
        <f t="shared" si="13"/>
        <v>2.9683212353592303E-3</v>
      </c>
      <c r="I24" s="133" t="s">
        <v>166</v>
      </c>
      <c r="J24" s="139">
        <f>J18</f>
        <v>0.99999999999999989</v>
      </c>
      <c r="K24" s="139">
        <f t="shared" ref="K24:P24" si="14">K18</f>
        <v>0.20905923344947736</v>
      </c>
      <c r="L24" s="139">
        <f t="shared" si="14"/>
        <v>0.12775842044134728</v>
      </c>
      <c r="M24" s="139">
        <f t="shared" si="14"/>
        <v>0.15331010452961671</v>
      </c>
      <c r="N24" s="139">
        <f t="shared" si="14"/>
        <v>0.43554006968641112</v>
      </c>
      <c r="O24" s="139">
        <f t="shared" si="14"/>
        <v>4.5296167247386762E-2</v>
      </c>
      <c r="P24" s="139">
        <f t="shared" si="14"/>
        <v>2.9036004645760744E-2</v>
      </c>
    </row>
    <row r="25" spans="1:16" ht="16.5">
      <c r="A25" s="142" t="s">
        <v>164</v>
      </c>
      <c r="B25" s="141">
        <f t="shared" si="13"/>
        <v>0.45486266575996426</v>
      </c>
      <c r="C25" s="141">
        <f t="shared" si="13"/>
        <v>0.23016987335030928</v>
      </c>
      <c r="D25" s="141">
        <f t="shared" si="13"/>
        <v>0.73332496792746438</v>
      </c>
      <c r="E25" s="141">
        <f t="shared" si="13"/>
        <v>0.28244723879159006</v>
      </c>
      <c r="F25" s="141">
        <f t="shared" si="13"/>
        <v>0.47515965777959168</v>
      </c>
      <c r="G25" s="141">
        <f t="shared" si="13"/>
        <v>0.37505078752978882</v>
      </c>
      <c r="I25" s="123" t="s">
        <v>170</v>
      </c>
      <c r="J25" s="80">
        <f>' Compte de Résultats'!$B$12</f>
        <v>13500</v>
      </c>
    </row>
    <row r="26" spans="1:16" s="127" customFormat="1" ht="16.5">
      <c r="A26" s="142" t="s">
        <v>168</v>
      </c>
      <c r="B26" s="141">
        <f t="shared" si="13"/>
        <v>3.7008992972125045E-2</v>
      </c>
      <c r="C26" s="141">
        <f t="shared" si="13"/>
        <v>1.8727312365776207E-2</v>
      </c>
      <c r="D26" s="141">
        <f t="shared" si="13"/>
        <v>5.9665522425252658E-2</v>
      </c>
      <c r="E26" s="141">
        <f t="shared" si="13"/>
        <v>2.2980755868300437E-2</v>
      </c>
      <c r="F26" s="141">
        <f t="shared" si="13"/>
        <v>3.866041721850641E-2</v>
      </c>
      <c r="G26" s="141">
        <f t="shared" si="13"/>
        <v>3.0515258790671271E-2</v>
      </c>
      <c r="I26" s="123" t="s">
        <v>169</v>
      </c>
      <c r="J26" s="80">
        <f>' Compte de Résultats'!B21</f>
        <v>21600</v>
      </c>
      <c r="K26"/>
      <c r="L26"/>
      <c r="M26"/>
      <c r="N26"/>
      <c r="O26"/>
      <c r="P26"/>
    </row>
    <row r="27" spans="1:16" ht="16.5">
      <c r="A27" s="142" t="s">
        <v>171</v>
      </c>
      <c r="B27" s="141">
        <f t="shared" si="13"/>
        <v>2.7572512544881529E-2</v>
      </c>
      <c r="C27" s="141">
        <f t="shared" si="13"/>
        <v>3.3196754163478198E-2</v>
      </c>
      <c r="D27" s="141">
        <f t="shared" si="13"/>
        <v>3.0656637630011013E-2</v>
      </c>
      <c r="E27" s="141">
        <f t="shared" si="13"/>
        <v>3.778464622014592E-2</v>
      </c>
      <c r="F27" s="141">
        <f t="shared" si="13"/>
        <v>3.4762072264778267E-2</v>
      </c>
      <c r="G27" s="141">
        <f t="shared" si="13"/>
        <v>2.2577748049204722E-2</v>
      </c>
      <c r="I27" s="125" t="s">
        <v>16</v>
      </c>
      <c r="J27" s="126">
        <f>SUM(J25:J26)</f>
        <v>35100</v>
      </c>
      <c r="K27" s="137">
        <f>$J$27*K24</f>
        <v>7337.9790940766552</v>
      </c>
      <c r="L27" s="137">
        <f t="shared" ref="L27:P27" si="15">$J$27*L24</f>
        <v>4484.320557491289</v>
      </c>
      <c r="M27" s="137">
        <f t="shared" si="15"/>
        <v>5381.1846689895465</v>
      </c>
      <c r="N27" s="137">
        <f t="shared" si="15"/>
        <v>15287.45644599303</v>
      </c>
      <c r="O27" s="137">
        <f t="shared" si="15"/>
        <v>1589.8954703832753</v>
      </c>
      <c r="P27" s="137">
        <f t="shared" si="15"/>
        <v>1019.1637630662021</v>
      </c>
    </row>
    <row r="28" spans="1:16" ht="16.5">
      <c r="B28" s="143"/>
      <c r="C28" s="143"/>
      <c r="D28" s="143"/>
      <c r="E28" s="143"/>
      <c r="F28" s="143"/>
      <c r="G28" s="143"/>
      <c r="I28" s="122" t="s">
        <v>171</v>
      </c>
    </row>
    <row r="29" spans="1:16" ht="13.5">
      <c r="I29" s="127" t="s">
        <v>162</v>
      </c>
      <c r="J29" s="127" t="s">
        <v>172</v>
      </c>
    </row>
    <row r="30" spans="1:16" ht="16.5">
      <c r="A30" s="181" t="s">
        <v>186</v>
      </c>
      <c r="I30" s="127" t="s">
        <v>173</v>
      </c>
      <c r="J30" s="127">
        <f t="shared" ref="J30:J31" si="16">SUM(K30:P30)</f>
        <v>1384500</v>
      </c>
      <c r="K30" s="127">
        <f>K6*B6</f>
        <v>174000</v>
      </c>
      <c r="L30" s="127">
        <f t="shared" ref="L30:P30" si="17">L6*C6</f>
        <v>253000</v>
      </c>
      <c r="M30" s="127">
        <f t="shared" si="17"/>
        <v>88000</v>
      </c>
      <c r="N30" s="127">
        <f t="shared" si="17"/>
        <v>800000</v>
      </c>
      <c r="O30" s="127">
        <f t="shared" si="17"/>
        <v>45500</v>
      </c>
      <c r="P30" s="127">
        <f t="shared" si="17"/>
        <v>24000</v>
      </c>
    </row>
    <row r="31" spans="1:16" ht="13.5">
      <c r="I31" s="133" t="s">
        <v>166</v>
      </c>
      <c r="J31" s="135">
        <f t="shared" si="16"/>
        <v>1</v>
      </c>
      <c r="K31" s="135">
        <f>K30/$J$30</f>
        <v>0.12567713976164679</v>
      </c>
      <c r="L31" s="135">
        <f t="shared" ref="L31:P31" si="18">L30/$J$30</f>
        <v>0.18273745034308414</v>
      </c>
      <c r="M31" s="135">
        <f t="shared" si="18"/>
        <v>6.3560852293246664E-2</v>
      </c>
      <c r="N31" s="135">
        <f t="shared" si="18"/>
        <v>0.57782592993860604</v>
      </c>
      <c r="O31" s="135">
        <f t="shared" si="18"/>
        <v>3.2863849765258218E-2</v>
      </c>
      <c r="P31" s="135">
        <f t="shared" si="18"/>
        <v>1.7334777898158179E-2</v>
      </c>
    </row>
    <row r="32" spans="1:16" s="127" customFormat="1" ht="13.5">
      <c r="A32"/>
      <c r="B32"/>
      <c r="C32"/>
      <c r="D32"/>
      <c r="E32"/>
      <c r="F32"/>
      <c r="G32"/>
      <c r="I32" s="123" t="s">
        <v>174</v>
      </c>
      <c r="J32" s="80">
        <f>Décisions!$C$19</f>
        <v>10000</v>
      </c>
      <c r="K32"/>
      <c r="L32"/>
      <c r="M32"/>
      <c r="N32"/>
      <c r="O32"/>
      <c r="P32"/>
    </row>
    <row r="33" spans="1:16" s="127" customFormat="1" ht="13.5">
      <c r="A33"/>
      <c r="B33"/>
      <c r="C33"/>
      <c r="D33"/>
      <c r="E33"/>
      <c r="F33"/>
      <c r="G33"/>
      <c r="I33" s="123" t="s">
        <v>175</v>
      </c>
      <c r="J33" s="80">
        <f>Décisions!$C$20</f>
        <v>20000</v>
      </c>
      <c r="K33"/>
      <c r="L33"/>
      <c r="M33"/>
      <c r="N33"/>
      <c r="O33"/>
      <c r="P33"/>
    </row>
    <row r="34" spans="1:16" ht="13.5">
      <c r="I34" s="140" t="s">
        <v>15</v>
      </c>
      <c r="J34" s="80">
        <f>' Compte de Résultats'!$B$15</f>
        <v>13500</v>
      </c>
    </row>
    <row r="35" spans="1:16">
      <c r="I35" s="125" t="s">
        <v>16</v>
      </c>
      <c r="J35" s="126">
        <f>SUM(J32:J34)</f>
        <v>43500</v>
      </c>
      <c r="K35" s="137">
        <f>$J$35*K31</f>
        <v>5466.9555796316354</v>
      </c>
      <c r="L35" s="137">
        <f t="shared" ref="L35:P35" si="19">$J$35*L31</f>
        <v>7949.0790899241601</v>
      </c>
      <c r="M35" s="137">
        <f t="shared" si="19"/>
        <v>2764.8970747562298</v>
      </c>
      <c r="N35" s="137">
        <f t="shared" si="19"/>
        <v>25135.427952329363</v>
      </c>
      <c r="O35" s="137">
        <f t="shared" si="19"/>
        <v>1429.5774647887324</v>
      </c>
      <c r="P35" s="137">
        <f t="shared" si="19"/>
        <v>754.0628385698808</v>
      </c>
    </row>
    <row r="36" spans="1:16">
      <c r="D36" s="143"/>
    </row>
  </sheetData>
  <conditionalFormatting sqref="B17:G1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  <pageSetUpPr fitToPage="1"/>
  </sheetPr>
  <dimension ref="A1:M60"/>
  <sheetViews>
    <sheetView topLeftCell="A7" zoomScaleNormal="100" workbookViewId="0">
      <selection activeCell="P32" sqref="P32"/>
    </sheetView>
  </sheetViews>
  <sheetFormatPr baseColWidth="10" defaultRowHeight="12.75"/>
  <cols>
    <col min="1" max="1" width="29.42578125" customWidth="1"/>
    <col min="2" max="2" width="10.85546875" style="44"/>
    <col min="5" max="5" width="17.140625" customWidth="1"/>
    <col min="6" max="6" width="15.28515625" bestFit="1" customWidth="1"/>
    <col min="7" max="7" width="13.7109375" bestFit="1" customWidth="1"/>
    <col min="9" max="9" width="13.5703125" bestFit="1" customWidth="1"/>
  </cols>
  <sheetData>
    <row r="1" spans="1:13" ht="20.25">
      <c r="A1" s="42" t="s">
        <v>83</v>
      </c>
      <c r="E1" s="42" t="s">
        <v>92</v>
      </c>
    </row>
    <row r="2" spans="1:13" ht="20.25">
      <c r="E2" s="42" t="s">
        <v>117</v>
      </c>
      <c r="F2" t="s">
        <v>101</v>
      </c>
      <c r="G2" s="187" t="s">
        <v>237</v>
      </c>
      <c r="I2" s="43" t="s">
        <v>116</v>
      </c>
    </row>
    <row r="3" spans="1:13" s="58" customFormat="1" ht="36">
      <c r="A3" s="67" t="s">
        <v>61</v>
      </c>
      <c r="B3" s="57"/>
      <c r="E3" s="56" t="s">
        <v>93</v>
      </c>
      <c r="F3" s="59">
        <v>1</v>
      </c>
      <c r="G3" s="59">
        <v>2</v>
      </c>
      <c r="H3" s="59">
        <v>3</v>
      </c>
      <c r="I3" s="59">
        <v>4</v>
      </c>
      <c r="J3" s="59">
        <v>5</v>
      </c>
      <c r="K3" s="59">
        <v>6</v>
      </c>
    </row>
    <row r="4" spans="1:13">
      <c r="A4" t="s">
        <v>71</v>
      </c>
      <c r="B4" s="44">
        <v>1000</v>
      </c>
      <c r="E4" t="s">
        <v>94</v>
      </c>
      <c r="F4" s="44">
        <v>20</v>
      </c>
      <c r="G4" s="44">
        <v>500</v>
      </c>
      <c r="H4" s="44">
        <v>0</v>
      </c>
      <c r="I4" s="44">
        <v>1500</v>
      </c>
      <c r="J4" s="44">
        <v>600</v>
      </c>
      <c r="K4" s="44">
        <v>5000</v>
      </c>
    </row>
    <row r="5" spans="1:13">
      <c r="A5" t="s">
        <v>72</v>
      </c>
      <c r="B5" s="44">
        <v>1000</v>
      </c>
      <c r="E5" t="s">
        <v>95</v>
      </c>
    </row>
    <row r="6" spans="1:13">
      <c r="A6" t="s">
        <v>73</v>
      </c>
      <c r="B6" s="44">
        <v>1000</v>
      </c>
      <c r="E6">
        <v>0</v>
      </c>
    </row>
    <row r="7" spans="1:13">
      <c r="A7" t="s">
        <v>74</v>
      </c>
      <c r="B7" s="44">
        <v>1000</v>
      </c>
      <c r="E7" s="187" t="s">
        <v>230</v>
      </c>
      <c r="F7">
        <v>60</v>
      </c>
      <c r="G7">
        <v>60</v>
      </c>
      <c r="H7">
        <v>60</v>
      </c>
      <c r="I7">
        <v>60</v>
      </c>
      <c r="J7">
        <v>60</v>
      </c>
      <c r="K7">
        <v>60</v>
      </c>
    </row>
    <row r="8" spans="1:13">
      <c r="A8" t="s">
        <v>70</v>
      </c>
      <c r="B8" s="44">
        <v>2000</v>
      </c>
      <c r="E8" s="187" t="s">
        <v>231</v>
      </c>
      <c r="F8">
        <v>80</v>
      </c>
      <c r="G8">
        <v>80</v>
      </c>
      <c r="H8">
        <v>80</v>
      </c>
      <c r="I8">
        <v>80</v>
      </c>
      <c r="J8">
        <v>80</v>
      </c>
      <c r="K8">
        <v>80</v>
      </c>
    </row>
    <row r="9" spans="1:13">
      <c r="A9" t="s">
        <v>75</v>
      </c>
      <c r="B9" s="44">
        <v>1500</v>
      </c>
      <c r="E9" s="187" t="s">
        <v>232</v>
      </c>
      <c r="F9" s="144">
        <v>120</v>
      </c>
      <c r="G9" s="144">
        <v>120</v>
      </c>
      <c r="H9" s="144">
        <v>120</v>
      </c>
      <c r="I9" s="144">
        <v>120</v>
      </c>
      <c r="J9" s="144">
        <v>120</v>
      </c>
      <c r="K9" s="144">
        <v>120</v>
      </c>
      <c r="L9" s="144"/>
      <c r="M9" s="207"/>
    </row>
    <row r="10" spans="1:13">
      <c r="A10" t="s">
        <v>76</v>
      </c>
      <c r="B10" s="44">
        <v>2000</v>
      </c>
      <c r="E10" s="187" t="s">
        <v>233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</row>
    <row r="11" spans="1:13">
      <c r="A11" t="s">
        <v>77</v>
      </c>
      <c r="B11" s="44">
        <v>1000</v>
      </c>
    </row>
    <row r="12" spans="1:13">
      <c r="A12" t="s">
        <v>78</v>
      </c>
      <c r="B12" s="44">
        <v>1000</v>
      </c>
    </row>
    <row r="13" spans="1:13">
      <c r="A13" t="s">
        <v>110</v>
      </c>
      <c r="B13" s="44">
        <v>1000</v>
      </c>
    </row>
    <row r="14" spans="1:13">
      <c r="A14" s="187" t="s">
        <v>234</v>
      </c>
      <c r="B14" s="44">
        <v>1000</v>
      </c>
    </row>
    <row r="16" spans="1:13" ht="36">
      <c r="A16" s="66" t="s">
        <v>128</v>
      </c>
      <c r="E16" s="56" t="s">
        <v>96</v>
      </c>
    </row>
    <row r="17" spans="1:11">
      <c r="A17" t="s">
        <v>79</v>
      </c>
      <c r="B17" s="44">
        <v>1500</v>
      </c>
      <c r="E17" t="s">
        <v>97</v>
      </c>
      <c r="F17" s="48">
        <v>1.5</v>
      </c>
      <c r="G17" s="48">
        <v>4</v>
      </c>
      <c r="H17" s="48">
        <v>6</v>
      </c>
      <c r="I17" s="48">
        <v>15</v>
      </c>
      <c r="J17" s="48">
        <v>24</v>
      </c>
      <c r="K17" s="48">
        <v>100</v>
      </c>
    </row>
    <row r="18" spans="1:11">
      <c r="A18" t="s">
        <v>80</v>
      </c>
      <c r="B18" s="44">
        <v>12000</v>
      </c>
      <c r="E18" s="43" t="s">
        <v>98</v>
      </c>
    </row>
    <row r="19" spans="1:11">
      <c r="A19" t="s">
        <v>81</v>
      </c>
      <c r="B19" s="44">
        <v>2000</v>
      </c>
      <c r="E19">
        <v>0</v>
      </c>
    </row>
    <row r="20" spans="1:11">
      <c r="A20" t="s">
        <v>82</v>
      </c>
      <c r="B20" s="45">
        <v>5</v>
      </c>
      <c r="E20" s="187" t="s">
        <v>228</v>
      </c>
      <c r="F20">
        <v>70</v>
      </c>
      <c r="G20">
        <v>70</v>
      </c>
      <c r="H20">
        <v>70</v>
      </c>
      <c r="I20">
        <v>70</v>
      </c>
      <c r="J20">
        <v>70</v>
      </c>
      <c r="K20">
        <v>70</v>
      </c>
    </row>
    <row r="21" spans="1:11">
      <c r="A21" s="43" t="s">
        <v>129</v>
      </c>
      <c r="B21" s="46">
        <v>2000</v>
      </c>
      <c r="E21" s="187" t="s">
        <v>229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</row>
    <row r="22" spans="1:11">
      <c r="A22" s="190" t="s">
        <v>202</v>
      </c>
      <c r="B22" s="190"/>
      <c r="E22" s="43" t="s">
        <v>99</v>
      </c>
      <c r="F22">
        <v>120</v>
      </c>
      <c r="G22">
        <v>120</v>
      </c>
      <c r="H22">
        <v>120</v>
      </c>
      <c r="I22">
        <v>120</v>
      </c>
      <c r="J22">
        <v>120</v>
      </c>
      <c r="K22">
        <v>120</v>
      </c>
    </row>
    <row r="23" spans="1:11">
      <c r="A23" s="190" t="s">
        <v>203</v>
      </c>
      <c r="B23" s="197">
        <v>1</v>
      </c>
      <c r="E23" s="43" t="s">
        <v>100</v>
      </c>
      <c r="F23">
        <v>150</v>
      </c>
      <c r="G23">
        <v>150</v>
      </c>
      <c r="H23">
        <v>150</v>
      </c>
      <c r="I23">
        <v>150</v>
      </c>
      <c r="J23">
        <v>150</v>
      </c>
      <c r="K23">
        <v>150</v>
      </c>
    </row>
    <row r="24" spans="1:11">
      <c r="A24" s="190" t="s">
        <v>204</v>
      </c>
      <c r="B24" s="197">
        <v>1</v>
      </c>
    </row>
    <row r="25" spans="1:11">
      <c r="A25" s="190" t="s">
        <v>205</v>
      </c>
      <c r="B25" s="197">
        <v>0.9</v>
      </c>
    </row>
    <row r="26" spans="1:11">
      <c r="A26" s="190" t="s">
        <v>206</v>
      </c>
      <c r="B26" s="197">
        <v>0.8</v>
      </c>
    </row>
    <row r="27" spans="1:11">
      <c r="A27" s="190" t="s">
        <v>207</v>
      </c>
      <c r="B27" s="197">
        <v>0.7</v>
      </c>
    </row>
    <row r="28" spans="1:11">
      <c r="A28" s="190" t="s">
        <v>208</v>
      </c>
      <c r="B28" s="197">
        <v>0</v>
      </c>
    </row>
    <row r="29" spans="1:11" ht="18">
      <c r="E29" s="56" t="s">
        <v>115</v>
      </c>
      <c r="F29" s="63" t="s">
        <v>118</v>
      </c>
    </row>
    <row r="30" spans="1:11">
      <c r="E30">
        <v>1</v>
      </c>
      <c r="F30">
        <v>1</v>
      </c>
    </row>
    <row r="31" spans="1:11" ht="18">
      <c r="A31" s="41" t="s">
        <v>17</v>
      </c>
      <c r="E31">
        <v>2</v>
      </c>
      <c r="F31">
        <v>2</v>
      </c>
    </row>
    <row r="32" spans="1:11">
      <c r="A32" s="43" t="s">
        <v>84</v>
      </c>
      <c r="B32" s="47">
        <v>1000</v>
      </c>
      <c r="E32">
        <v>3</v>
      </c>
      <c r="F32">
        <v>3</v>
      </c>
    </row>
    <row r="33" spans="1:6">
      <c r="A33" s="43" t="s">
        <v>85</v>
      </c>
      <c r="B33" s="46">
        <v>1200</v>
      </c>
      <c r="E33">
        <v>4</v>
      </c>
      <c r="F33">
        <v>1</v>
      </c>
    </row>
    <row r="34" spans="1:6">
      <c r="A34" s="43" t="s">
        <v>86</v>
      </c>
      <c r="B34" s="182">
        <v>22000</v>
      </c>
      <c r="E34">
        <v>5</v>
      </c>
      <c r="F34">
        <v>4</v>
      </c>
    </row>
    <row r="35" spans="1:6">
      <c r="A35" s="43" t="s">
        <v>87</v>
      </c>
      <c r="B35" s="182">
        <v>30000</v>
      </c>
      <c r="E35">
        <v>6</v>
      </c>
      <c r="F35">
        <v>5</v>
      </c>
    </row>
    <row r="36" spans="1:6">
      <c r="A36" s="190" t="s">
        <v>196</v>
      </c>
      <c r="B36" s="191"/>
    </row>
    <row r="37" spans="1:6">
      <c r="A37" s="190" t="s">
        <v>60</v>
      </c>
      <c r="B37" s="192">
        <v>1300</v>
      </c>
    </row>
    <row r="38" spans="1:6">
      <c r="A38" s="190" t="s">
        <v>198</v>
      </c>
      <c r="B38" s="192">
        <v>1000</v>
      </c>
      <c r="E38" s="212" t="s">
        <v>128</v>
      </c>
      <c r="F38" s="213"/>
    </row>
    <row r="39" spans="1:6">
      <c r="A39" s="190" t="s">
        <v>197</v>
      </c>
      <c r="B39" s="191"/>
      <c r="E39" s="187" t="s">
        <v>217</v>
      </c>
      <c r="F39" s="187" t="s">
        <v>216</v>
      </c>
    </row>
    <row r="40" spans="1:6">
      <c r="A40" s="190" t="s">
        <v>60</v>
      </c>
      <c r="B40" s="192">
        <v>4000</v>
      </c>
      <c r="E40">
        <v>0</v>
      </c>
      <c r="F40" s="143">
        <f>Paramètres!$B$23</f>
        <v>1</v>
      </c>
    </row>
    <row r="41" spans="1:6">
      <c r="A41" s="190" t="s">
        <v>198</v>
      </c>
      <c r="B41" s="192">
        <v>5000</v>
      </c>
      <c r="E41">
        <v>1</v>
      </c>
      <c r="F41" s="143">
        <f>Paramètres!$B$24</f>
        <v>1</v>
      </c>
    </row>
    <row r="42" spans="1:6">
      <c r="E42">
        <v>2</v>
      </c>
      <c r="F42" s="143">
        <f>Paramètres!$B$25</f>
        <v>0.9</v>
      </c>
    </row>
    <row r="43" spans="1:6">
      <c r="E43">
        <v>3</v>
      </c>
      <c r="F43" s="143">
        <f>Paramètres!$B$26</f>
        <v>0.8</v>
      </c>
    </row>
    <row r="44" spans="1:6" ht="18">
      <c r="A44" s="41" t="s">
        <v>88</v>
      </c>
      <c r="E44">
        <v>4</v>
      </c>
      <c r="F44" s="143">
        <f>Paramètres!$B$27</f>
        <v>0.7</v>
      </c>
    </row>
    <row r="45" spans="1:6">
      <c r="A45" s="43" t="s">
        <v>89</v>
      </c>
      <c r="B45" s="205">
        <v>0.28000000000000003</v>
      </c>
      <c r="E45">
        <v>5</v>
      </c>
      <c r="F45" s="143">
        <v>0</v>
      </c>
    </row>
    <row r="46" spans="1:6">
      <c r="A46" s="43" t="s">
        <v>90</v>
      </c>
      <c r="B46" s="85">
        <v>0.1</v>
      </c>
      <c r="E46">
        <v>6</v>
      </c>
      <c r="F46" s="143">
        <v>0</v>
      </c>
    </row>
    <row r="47" spans="1:6">
      <c r="A47" s="43" t="s">
        <v>144</v>
      </c>
      <c r="B47" s="85">
        <v>0.06</v>
      </c>
      <c r="E47">
        <v>7</v>
      </c>
      <c r="F47" s="143">
        <v>0</v>
      </c>
    </row>
    <row r="48" spans="1:6">
      <c r="A48" s="43" t="s">
        <v>148</v>
      </c>
      <c r="B48" s="84">
        <v>5</v>
      </c>
      <c r="C48" s="43" t="s">
        <v>149</v>
      </c>
      <c r="E48">
        <v>8</v>
      </c>
      <c r="F48" s="143">
        <v>0</v>
      </c>
    </row>
    <row r="49" spans="1:6">
      <c r="A49" s="43" t="s">
        <v>91</v>
      </c>
      <c r="B49" s="206">
        <v>0</v>
      </c>
      <c r="E49">
        <v>9</v>
      </c>
      <c r="F49" s="143">
        <v>0</v>
      </c>
    </row>
    <row r="50" spans="1:6">
      <c r="A50" s="43" t="s">
        <v>194</v>
      </c>
      <c r="B50" s="44">
        <v>20000</v>
      </c>
    </row>
    <row r="51" spans="1:6" ht="20.25">
      <c r="A51" s="42" t="s">
        <v>123</v>
      </c>
    </row>
    <row r="52" spans="1:6">
      <c r="A52" t="s">
        <v>124</v>
      </c>
      <c r="B52" s="196">
        <v>0.3</v>
      </c>
    </row>
    <row r="53" spans="1:6">
      <c r="A53" t="s">
        <v>125</v>
      </c>
      <c r="B53" s="196">
        <v>0.3</v>
      </c>
    </row>
    <row r="54" spans="1:6">
      <c r="B54" s="83" t="s">
        <v>138</v>
      </c>
      <c r="C54" t="s">
        <v>139</v>
      </c>
    </row>
    <row r="55" spans="1:6">
      <c r="A55" t="s">
        <v>140</v>
      </c>
      <c r="B55" s="84">
        <v>80</v>
      </c>
      <c r="C55">
        <v>150</v>
      </c>
    </row>
    <row r="56" spans="1:6">
      <c r="A56" s="43" t="s">
        <v>141</v>
      </c>
      <c r="B56" s="84">
        <v>80</v>
      </c>
      <c r="C56">
        <v>150</v>
      </c>
    </row>
    <row r="57" spans="1:6">
      <c r="A57" s="43"/>
      <c r="C57" s="44"/>
    </row>
    <row r="58" spans="1:6">
      <c r="A58" s="43"/>
      <c r="C58" s="44"/>
    </row>
    <row r="59" spans="1:6">
      <c r="A59" s="43"/>
      <c r="C59" s="44"/>
    </row>
    <row r="60" spans="1:6">
      <c r="A60" s="43"/>
    </row>
  </sheetData>
  <mergeCells count="1">
    <mergeCell ref="E38:F38"/>
  </mergeCells>
  <pageMargins left="0.7" right="0.7" top="0.75" bottom="0.75" header="0.3" footer="0.3"/>
  <pageSetup paperSize="8" scale="8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25</vt:i4>
      </vt:variant>
    </vt:vector>
  </HeadingPairs>
  <TitlesOfParts>
    <vt:vector size="32" baseType="lpstr">
      <vt:lpstr>Décisions</vt:lpstr>
      <vt:lpstr>Validation décisions</vt:lpstr>
      <vt:lpstr> Compte de Résultats</vt:lpstr>
      <vt:lpstr>Bilan</vt:lpstr>
      <vt:lpstr>Emprunts</vt:lpstr>
      <vt:lpstr>Marge nette d'expl. </vt:lpstr>
      <vt:lpstr>Paramètres</vt:lpstr>
      <vt:lpstr>amort_stat_restantes</vt:lpstr>
      <vt:lpstr>an</vt:lpstr>
      <vt:lpstr>an_debut</vt:lpstr>
      <vt:lpstr>capac_station</vt:lpstr>
      <vt:lpstr>capac_tot_stations</vt:lpstr>
      <vt:lpstr>cout_comp</vt:lpstr>
      <vt:lpstr>déc_offre</vt:lpstr>
      <vt:lpstr>durée_amort</vt:lpstr>
      <vt:lpstr>liste_niveau</vt:lpstr>
      <vt:lpstr>liste_temps</vt:lpstr>
      <vt:lpstr>Max_com_ext</vt:lpstr>
      <vt:lpstr>Max_com_int</vt:lpstr>
      <vt:lpstr>Max_form_A</vt:lpstr>
      <vt:lpstr>Max_ind_Cons</vt:lpstr>
      <vt:lpstr>Max_ind_Tech</vt:lpstr>
      <vt:lpstr>Min_ind_Cons</vt:lpstr>
      <vt:lpstr>Min_ind_Tech</vt:lpstr>
      <vt:lpstr>Px_achat_station</vt:lpstr>
      <vt:lpstr>Px_cession_station</vt:lpstr>
      <vt:lpstr>tab_niveau</vt:lpstr>
      <vt:lpstr>tab_temps</vt:lpstr>
      <vt:lpstr>tab_usure</vt:lpstr>
      <vt:lpstr>val_nette_stat_cedees</vt:lpstr>
      <vt:lpstr>' Compte de Résultats'!Zone_d_impression</vt:lpstr>
      <vt:lpstr>Bilan!Zone_d_impression</vt:lpstr>
    </vt:vector>
  </TitlesOfParts>
  <Company>Strat&amp;Logic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LAVOGIEZ Laurent</dc:creator>
  <cp:lastModifiedBy>Leandre Gachet</cp:lastModifiedBy>
  <cp:lastPrinted>2021-04-02T10:08:18Z</cp:lastPrinted>
  <dcterms:created xsi:type="dcterms:W3CDTF">2002-01-25T16:36:49Z</dcterms:created>
  <dcterms:modified xsi:type="dcterms:W3CDTF">2022-03-24T11:04:49Z</dcterms:modified>
</cp:coreProperties>
</file>